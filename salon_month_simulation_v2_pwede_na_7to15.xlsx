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List" sheetId="1" r:id="rId1"/>
    <sheet name="Settings" sheetId="2" r:id="rId2"/>
    <sheet name="Transaction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<sst xmlns="http://schemas.openxmlformats.org/spreadsheetml/2006/main" count="1436" uniqueCount="79">
  <si>
    <t>Category</t>
  </si>
  <si>
    <t>Service</t>
  </si>
  <si>
    <t>Price</t>
  </si>
  <si>
    <t>Hair</t>
  </si>
  <si>
    <t>Nail</t>
  </si>
  <si>
    <t>Other</t>
  </si>
  <si>
    <t>Blowdry</t>
  </si>
  <si>
    <t>Haircut</t>
  </si>
  <si>
    <t>Iron</t>
  </si>
  <si>
    <t>Hair Spa</t>
  </si>
  <si>
    <t>Hair Botox Treatment</t>
  </si>
  <si>
    <t>Keratin Mask</t>
  </si>
  <si>
    <t>Color</t>
  </si>
  <si>
    <t>Rebond</t>
  </si>
  <si>
    <t>Rebond Hair Botox</t>
  </si>
  <si>
    <t>Rebond / Color</t>
  </si>
  <si>
    <t>Rebond / Color / Brazilian</t>
  </si>
  <si>
    <t>Kerabond</t>
  </si>
  <si>
    <t>Brazilian</t>
  </si>
  <si>
    <t>Brazilian / Botox</t>
  </si>
  <si>
    <t>Brazilian / Keratin</t>
  </si>
  <si>
    <t>LUXLISS Cysteine Treatment</t>
  </si>
  <si>
    <t>LUXLISS Smooth Wonder Treatment</t>
  </si>
  <si>
    <t>Highlights (per foil)</t>
  </si>
  <si>
    <t>Balayage / Color</t>
  </si>
  <si>
    <t>Manicure</t>
  </si>
  <si>
    <t>Pedicure</t>
  </si>
  <si>
    <t>Manicure / Pedicure</t>
  </si>
  <si>
    <t>Manicure / Pedicure / Foot Spa</t>
  </si>
  <si>
    <t>Foot Spa</t>
  </si>
  <si>
    <t>Foot Spa / Pedicure</t>
  </si>
  <si>
    <t>Manicure / Gel Polish</t>
  </si>
  <si>
    <t>Pedicure / Gel Polish</t>
  </si>
  <si>
    <t>Nails Extension Ordinary Polish</t>
  </si>
  <si>
    <t>Nails Extension Gel Polish</t>
  </si>
  <si>
    <t>Eyelash Extension</t>
  </si>
  <si>
    <t>Hair &amp; Make up (Wedding/Debut)</t>
  </si>
  <si>
    <t>Product Cost % of Sales</t>
  </si>
  <si>
    <t>Fixed Rent</t>
  </si>
  <si>
    <t>Electricity</t>
  </si>
  <si>
    <t>Water</t>
  </si>
  <si>
    <t>Senior Base Salary</t>
  </si>
  <si>
    <t>Junior Base Salary</t>
  </si>
  <si>
    <t>Nail Tech Base Salary</t>
  </si>
  <si>
    <t>Date</t>
  </si>
  <si>
    <t>Day</t>
  </si>
  <si>
    <t>Staff</t>
  </si>
  <si>
    <t>Wed</t>
  </si>
  <si>
    <t>Thu</t>
  </si>
  <si>
    <t>Fri</t>
  </si>
  <si>
    <t>Sat</t>
  </si>
  <si>
    <t>Sun</t>
  </si>
  <si>
    <t>Mon</t>
  </si>
  <si>
    <t>Tue</t>
  </si>
  <si>
    <t>Nail Tech</t>
  </si>
  <si>
    <t>Senior Stylist</t>
  </si>
  <si>
    <t>Junior Stylist</t>
  </si>
  <si>
    <t>Commission (10%)</t>
  </si>
  <si>
    <t>Metric</t>
  </si>
  <si>
    <t>Amount (PHP)</t>
  </si>
  <si>
    <t>Total Sales</t>
  </si>
  <si>
    <t>Product Cost</t>
  </si>
  <si>
    <t>Fixed Salon Expenses (Rent+Utilities)</t>
  </si>
  <si>
    <t>Senior Sales</t>
  </si>
  <si>
    <t>Junior Sales</t>
  </si>
  <si>
    <t>Nail Tech Sales</t>
  </si>
  <si>
    <t>Senior Incentive</t>
  </si>
  <si>
    <t>Junior Incentive</t>
  </si>
  <si>
    <t>Nail Tech Incentive</t>
  </si>
  <si>
    <t>Senior Commission (10%)</t>
  </si>
  <si>
    <t>Junior Commission (10%)</t>
  </si>
  <si>
    <t>Nail Tech Commission (10%)</t>
  </si>
  <si>
    <t>Total Staff Pay (Base + Incentives + Commission)</t>
  </si>
  <si>
    <t>Total Expenses</t>
  </si>
  <si>
    <t>Owner Net Income</t>
  </si>
  <si>
    <t>Base Salary</t>
  </si>
  <si>
    <t>Incentive</t>
  </si>
  <si>
    <t>Commission</t>
  </si>
  <si>
    <t>Total Pay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</si>
</sst>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99</v>
      </c>
    </row>
    <row r="3" spans="1:3">
      <c r="A3" t="s">
        <v>3</v>
      </c>
      <c r="B3" t="s">
        <v>7</v>
      </c>
      <c r="C3">
        <v>149</v>
      </c>
    </row>
    <row r="4" spans="1:3">
      <c r="A4" t="s">
        <v>3</v>
      </c>
      <c r="B4" t="s">
        <v>8</v>
      </c>
      <c r="C4">
        <v>199</v>
      </c>
    </row>
    <row r="5" spans="1:3">
      <c r="A5" t="s">
        <v>3</v>
      </c>
      <c r="B5" t="s">
        <v>9</v>
      </c>
      <c r="C5">
        <v>349</v>
      </c>
    </row>
    <row r="6" spans="1:3">
      <c r="A6" t="s">
        <v>3</v>
      </c>
      <c r="B6" t="s">
        <v>10</v>
      </c>
      <c r="C6">
        <v>499</v>
      </c>
    </row>
    <row r="7" spans="1:3">
      <c r="A7" t="s">
        <v>3</v>
      </c>
      <c r="B7" t="s">
        <v>11</v>
      </c>
      <c r="C7">
        <v>499</v>
      </c>
    </row>
    <row r="8" spans="1:3">
      <c r="A8" t="s">
        <v>3</v>
      </c>
      <c r="B8" t="s">
        <v>12</v>
      </c>
      <c r="C8">
        <v>699</v>
      </c>
    </row>
    <row r="9" spans="1:3">
      <c r="A9" t="s">
        <v>3</v>
      </c>
      <c r="B9" t="s">
        <v>13</v>
      </c>
      <c r="C9">
        <v>1499</v>
      </c>
    </row>
    <row r="10" spans="1:3">
      <c r="A10" t="s">
        <v>3</v>
      </c>
      <c r="B10" t="s">
        <v>14</v>
      </c>
      <c r="C10">
        <v>1999</v>
      </c>
    </row>
    <row r="11" spans="1:3">
      <c r="A11" t="s">
        <v>3</v>
      </c>
      <c r="B11" t="s">
        <v>15</v>
      </c>
      <c r="C11">
        <v>2199</v>
      </c>
    </row>
    <row r="12" spans="1:3">
      <c r="A12" t="s">
        <v>3</v>
      </c>
      <c r="B12" t="s">
        <v>16</v>
      </c>
      <c r="C12">
        <v>3199</v>
      </c>
    </row>
    <row r="13" spans="1:3">
      <c r="A13" t="s">
        <v>3</v>
      </c>
      <c r="B13" t="s">
        <v>17</v>
      </c>
      <c r="C13">
        <v>1999</v>
      </c>
    </row>
    <row r="14" spans="1:3">
      <c r="A14" t="s">
        <v>3</v>
      </c>
      <c r="B14" t="s">
        <v>18</v>
      </c>
      <c r="C14">
        <v>1499</v>
      </c>
    </row>
    <row r="15" spans="1:3">
      <c r="A15" t="s">
        <v>3</v>
      </c>
      <c r="B15" t="s">
        <v>19</v>
      </c>
      <c r="C15">
        <v>1499</v>
      </c>
    </row>
    <row r="16" spans="1:3">
      <c r="A16" t="s">
        <v>3</v>
      </c>
      <c r="B16" t="s">
        <v>20</v>
      </c>
      <c r="C16">
        <v>1499</v>
      </c>
    </row>
    <row r="17" spans="1:3">
      <c r="A17" t="s">
        <v>3</v>
      </c>
      <c r="B17" t="s">
        <v>21</v>
      </c>
      <c r="C17">
        <v>1999</v>
      </c>
    </row>
    <row r="18" spans="1:3">
      <c r="A18" t="s">
        <v>3</v>
      </c>
      <c r="B18" t="s">
        <v>22</v>
      </c>
      <c r="C18">
        <v>1999</v>
      </c>
    </row>
    <row r="19" spans="1:3">
      <c r="A19" t="s">
        <v>3</v>
      </c>
      <c r="B19" t="s">
        <v>23</v>
      </c>
      <c r="C19">
        <v>100</v>
      </c>
    </row>
    <row r="20" spans="1:3">
      <c r="A20" t="s">
        <v>3</v>
      </c>
      <c r="B20" t="s">
        <v>24</v>
      </c>
      <c r="C20">
        <v>2499</v>
      </c>
    </row>
    <row r="21" spans="1:3">
      <c r="A21" t="s">
        <v>4</v>
      </c>
      <c r="B21" t="s">
        <v>25</v>
      </c>
      <c r="C21">
        <v>119</v>
      </c>
    </row>
    <row r="22" spans="1:3">
      <c r="A22" t="s">
        <v>4</v>
      </c>
      <c r="B22" t="s">
        <v>26</v>
      </c>
      <c r="C22">
        <v>149</v>
      </c>
    </row>
    <row r="23" spans="1:3">
      <c r="A23" t="s">
        <v>4</v>
      </c>
      <c r="B23" t="s">
        <v>27</v>
      </c>
      <c r="C23">
        <v>269</v>
      </c>
    </row>
    <row r="24" spans="1:3">
      <c r="A24" t="s">
        <v>4</v>
      </c>
      <c r="B24" t="s">
        <v>28</v>
      </c>
      <c r="C24">
        <v>499</v>
      </c>
    </row>
    <row r="25" spans="1:3">
      <c r="A25" t="s">
        <v>4</v>
      </c>
      <c r="B25" t="s">
        <v>29</v>
      </c>
      <c r="C25">
        <v>299</v>
      </c>
    </row>
    <row r="26" spans="1:3">
      <c r="A26" t="s">
        <v>4</v>
      </c>
      <c r="B26" t="s">
        <v>30</v>
      </c>
      <c r="C26">
        <v>399</v>
      </c>
    </row>
    <row r="27" spans="1:3">
      <c r="A27" t="s">
        <v>4</v>
      </c>
      <c r="B27" t="s">
        <v>31</v>
      </c>
      <c r="C27">
        <v>349</v>
      </c>
    </row>
    <row r="28" spans="1:3">
      <c r="A28" t="s">
        <v>4</v>
      </c>
      <c r="B28" t="s">
        <v>32</v>
      </c>
      <c r="C28">
        <v>399</v>
      </c>
    </row>
    <row r="29" spans="1:3">
      <c r="A29" t="s">
        <v>4</v>
      </c>
      <c r="B29" t="s">
        <v>33</v>
      </c>
      <c r="C29">
        <v>399</v>
      </c>
    </row>
    <row r="30" spans="1:3">
      <c r="A30" t="s">
        <v>4</v>
      </c>
      <c r="B30" t="s">
        <v>34</v>
      </c>
      <c r="C30">
        <v>599</v>
      </c>
    </row>
    <row r="31" spans="1:3">
      <c r="A31" t="s">
        <v>5</v>
      </c>
      <c r="B31" t="s">
        <v>35</v>
      </c>
      <c r="C31">
        <v>399</v>
      </c>
    </row>
    <row r="32" spans="1:3">
      <c r="A32" t="s">
        <v>5</v>
      </c>
      <c r="B32" t="s">
        <v>36</v>
      </c>
      <c r="C32">
        <v>1499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37</v>
      </c>
      <c r="B1">
        <v>0.2</v>
      </c>
    </row>
    <row r="2" spans="1:2">
      <c r="A2" t="s">
        <v>38</v>
      </c>
      <c r="B2">
        <v>15000</v>
      </c>
    </row>
    <row r="3" spans="1:2">
      <c r="A3" t="s">
        <v>39</v>
      </c>
      <c r="B3">
        <v>5000</v>
      </c>
    </row>
    <row r="4" spans="1:2">
      <c r="A4" t="s">
        <v>40</v>
      </c>
      <c r="B4">
        <v>500</v>
      </c>
    </row>
    <row r="6" spans="1:2">
      <c r="A6" t="s">
        <v>41</v>
      </c>
      <c r="B6">
        <v>12000</v>
      </c>
    </row>
    <row r="7" spans="1:2">
      <c r="A7" t="s">
        <v>42</v>
      </c>
      <c r="B7">
        <v>9000</v>
      </c>
    </row>
    <row r="8" spans="1:2">
      <c r="A8" t="s">
        <v>43</v>
      </c>
      <c r="B8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3"/>
  <sheetViews>
    <sheetView workbookViewId="0"/>
  </sheetViews>
  <sheetFormatPr defaultRowHeight="15"/>
  <sheetData>
    <row r="1" spans="1:7">
      <c r="A1" s="1" t="s">
        <v>44</v>
      </c>
      <c r="B1" s="1" t="s">
        <v>45</v>
      </c>
      <c r="C1" s="1" t="s">
        <v>1</v>
      </c>
      <c r="D1" s="1" t="s">
        <v>0</v>
      </c>
      <c r="E1" s="1" t="s">
        <v>46</v>
      </c>
      <c r="F1" s="1" t="s">
        <v>2</v>
      </c>
      <c r="G1" t="s">
        <v>57</v>
      </c>
    </row>
    <row r="2" spans="1:7">
      <c r="A2" s="2">
        <v>45658</v>
      </c>
      <c r="B2" t="s">
        <v>47</v>
      </c>
      <c r="C2" t="s">
        <v>25</v>
      </c>
      <c r="D2" t="s">
        <v>4</v>
      </c>
      <c r="E2" t="s">
        <v>54</v>
      </c>
      <c r="F2">
        <v>119</v>
      </c>
      <c r="G2">
        <f>F2*0.10</f>
        <v>0</v>
      </c>
    </row>
    <row r="3" spans="1:7">
      <c r="A3" s="2">
        <v>45658</v>
      </c>
      <c r="B3" t="s">
        <v>47</v>
      </c>
      <c r="C3" t="s">
        <v>29</v>
      </c>
      <c r="D3" t="s">
        <v>4</v>
      </c>
      <c r="E3" t="s">
        <v>54</v>
      </c>
      <c r="F3">
        <v>299</v>
      </c>
      <c r="G3">
        <f>F3*0.10</f>
        <v>0</v>
      </c>
    </row>
    <row r="4" spans="1:7">
      <c r="A4" s="2">
        <v>45658</v>
      </c>
      <c r="B4" t="s">
        <v>47</v>
      </c>
      <c r="C4" t="s">
        <v>6</v>
      </c>
      <c r="D4" t="s">
        <v>3</v>
      </c>
      <c r="E4" t="s">
        <v>55</v>
      </c>
      <c r="F4">
        <v>99</v>
      </c>
      <c r="G4">
        <f>F4*0.10</f>
        <v>0</v>
      </c>
    </row>
    <row r="5" spans="1:7">
      <c r="A5" s="2">
        <v>45658</v>
      </c>
      <c r="B5" t="s">
        <v>47</v>
      </c>
      <c r="C5" t="s">
        <v>6</v>
      </c>
      <c r="D5" t="s">
        <v>3</v>
      </c>
      <c r="E5" t="s">
        <v>56</v>
      </c>
      <c r="F5">
        <v>99</v>
      </c>
      <c r="G5">
        <f>F5*0.10</f>
        <v>0</v>
      </c>
    </row>
    <row r="6" spans="1:7">
      <c r="A6" s="2">
        <v>45658</v>
      </c>
      <c r="B6" t="s">
        <v>47</v>
      </c>
      <c r="C6" t="s">
        <v>18</v>
      </c>
      <c r="D6" t="s">
        <v>3</v>
      </c>
      <c r="E6" t="s">
        <v>56</v>
      </c>
      <c r="F6">
        <v>1499</v>
      </c>
      <c r="G6">
        <f>F6*0.10</f>
        <v>0</v>
      </c>
    </row>
    <row r="7" spans="1:7">
      <c r="A7" s="2">
        <v>45658</v>
      </c>
      <c r="B7" t="s">
        <v>47</v>
      </c>
      <c r="C7" t="s">
        <v>24</v>
      </c>
      <c r="D7" t="s">
        <v>3</v>
      </c>
      <c r="E7" t="s">
        <v>56</v>
      </c>
      <c r="F7">
        <v>2499</v>
      </c>
      <c r="G7">
        <f>F7*0.10</f>
        <v>0</v>
      </c>
    </row>
    <row r="8" spans="1:7">
      <c r="A8" s="2">
        <v>45658</v>
      </c>
      <c r="B8" t="s">
        <v>47</v>
      </c>
      <c r="C8" t="s">
        <v>6</v>
      </c>
      <c r="D8" t="s">
        <v>3</v>
      </c>
      <c r="E8" t="s">
        <v>55</v>
      </c>
      <c r="F8">
        <v>99</v>
      </c>
      <c r="G8">
        <f>F8*0.10</f>
        <v>0</v>
      </c>
    </row>
    <row r="9" spans="1:7">
      <c r="A9" s="2">
        <v>45658</v>
      </c>
      <c r="B9" t="s">
        <v>47</v>
      </c>
      <c r="C9" t="s">
        <v>8</v>
      </c>
      <c r="D9" t="s">
        <v>3</v>
      </c>
      <c r="E9" t="s">
        <v>55</v>
      </c>
      <c r="F9">
        <v>199</v>
      </c>
      <c r="G9">
        <f>F9*0.10</f>
        <v>0</v>
      </c>
    </row>
    <row r="10" spans="1:7">
      <c r="A10" s="2">
        <v>45658</v>
      </c>
      <c r="B10" t="s">
        <v>47</v>
      </c>
      <c r="C10" t="s">
        <v>26</v>
      </c>
      <c r="D10" t="s">
        <v>4</v>
      </c>
      <c r="E10" t="s">
        <v>54</v>
      </c>
      <c r="F10">
        <v>149</v>
      </c>
      <c r="G10">
        <f>F10*0.10</f>
        <v>0</v>
      </c>
    </row>
    <row r="11" spans="1:7">
      <c r="A11" s="2">
        <v>45658</v>
      </c>
      <c r="B11" t="s">
        <v>47</v>
      </c>
      <c r="C11" t="s">
        <v>11</v>
      </c>
      <c r="D11" t="s">
        <v>3</v>
      </c>
      <c r="E11" t="s">
        <v>55</v>
      </c>
      <c r="F11">
        <v>499</v>
      </c>
      <c r="G11">
        <f>F11*0.10</f>
        <v>0</v>
      </c>
    </row>
    <row r="12" spans="1:7">
      <c r="A12" s="2">
        <v>45658</v>
      </c>
      <c r="B12" t="s">
        <v>47</v>
      </c>
      <c r="C12" t="s">
        <v>27</v>
      </c>
      <c r="D12" t="s">
        <v>4</v>
      </c>
      <c r="E12" t="s">
        <v>54</v>
      </c>
      <c r="F12">
        <v>269</v>
      </c>
      <c r="G12">
        <f>F12*0.10</f>
        <v>0</v>
      </c>
    </row>
    <row r="13" spans="1:7">
      <c r="A13" s="2">
        <v>45658</v>
      </c>
      <c r="B13" t="s">
        <v>47</v>
      </c>
      <c r="C13" t="s">
        <v>30</v>
      </c>
      <c r="D13" t="s">
        <v>4</v>
      </c>
      <c r="E13" t="s">
        <v>54</v>
      </c>
      <c r="F13">
        <v>399</v>
      </c>
      <c r="G13">
        <f>F13*0.10</f>
        <v>0</v>
      </c>
    </row>
    <row r="14" spans="1:7">
      <c r="A14" s="2">
        <v>45658</v>
      </c>
      <c r="B14" t="s">
        <v>47</v>
      </c>
      <c r="C14" t="s">
        <v>6</v>
      </c>
      <c r="D14" t="s">
        <v>3</v>
      </c>
      <c r="E14" t="s">
        <v>56</v>
      </c>
      <c r="F14">
        <v>99</v>
      </c>
      <c r="G14">
        <f>F14*0.10</f>
        <v>0</v>
      </c>
    </row>
    <row r="15" spans="1:7">
      <c r="A15" s="2">
        <v>45659</v>
      </c>
      <c r="B15" t="s">
        <v>48</v>
      </c>
      <c r="C15" t="s">
        <v>10</v>
      </c>
      <c r="D15" t="s">
        <v>3</v>
      </c>
      <c r="E15" t="s">
        <v>55</v>
      </c>
      <c r="F15">
        <v>499</v>
      </c>
      <c r="G15">
        <f>F15*0.10</f>
        <v>0</v>
      </c>
    </row>
    <row r="16" spans="1:7">
      <c r="A16" s="2">
        <v>45659</v>
      </c>
      <c r="B16" t="s">
        <v>48</v>
      </c>
      <c r="C16" t="s">
        <v>23</v>
      </c>
      <c r="D16" t="s">
        <v>3</v>
      </c>
      <c r="E16" t="s">
        <v>55</v>
      </c>
      <c r="F16">
        <v>100</v>
      </c>
      <c r="G16">
        <f>F16*0.10</f>
        <v>0</v>
      </c>
    </row>
    <row r="17" spans="1:7">
      <c r="A17" s="2">
        <v>45659</v>
      </c>
      <c r="B17" t="s">
        <v>48</v>
      </c>
      <c r="C17" t="s">
        <v>6</v>
      </c>
      <c r="D17" t="s">
        <v>3</v>
      </c>
      <c r="E17" t="s">
        <v>55</v>
      </c>
      <c r="F17">
        <v>99</v>
      </c>
      <c r="G17">
        <f>F17*0.10</f>
        <v>0</v>
      </c>
    </row>
    <row r="18" spans="1:7">
      <c r="A18" s="2">
        <v>45659</v>
      </c>
      <c r="B18" t="s">
        <v>48</v>
      </c>
      <c r="C18" t="s">
        <v>23</v>
      </c>
      <c r="D18" t="s">
        <v>3</v>
      </c>
      <c r="E18" t="s">
        <v>56</v>
      </c>
      <c r="F18">
        <v>100</v>
      </c>
      <c r="G18">
        <f>F18*0.10</f>
        <v>0</v>
      </c>
    </row>
    <row r="19" spans="1:7">
      <c r="A19" s="2">
        <v>45659</v>
      </c>
      <c r="B19" t="s">
        <v>48</v>
      </c>
      <c r="C19" t="s">
        <v>25</v>
      </c>
      <c r="D19" t="s">
        <v>4</v>
      </c>
      <c r="E19" t="s">
        <v>54</v>
      </c>
      <c r="F19">
        <v>119</v>
      </c>
      <c r="G19">
        <f>F19*0.10</f>
        <v>0</v>
      </c>
    </row>
    <row r="20" spans="1:7">
      <c r="A20" s="2">
        <v>45659</v>
      </c>
      <c r="B20" t="s">
        <v>48</v>
      </c>
      <c r="C20" t="s">
        <v>15</v>
      </c>
      <c r="D20" t="s">
        <v>3</v>
      </c>
      <c r="E20" t="s">
        <v>56</v>
      </c>
      <c r="F20">
        <v>2199</v>
      </c>
      <c r="G20">
        <f>F20*0.10</f>
        <v>0</v>
      </c>
    </row>
    <row r="21" spans="1:7">
      <c r="A21" s="2">
        <v>45659</v>
      </c>
      <c r="B21" t="s">
        <v>48</v>
      </c>
      <c r="C21" t="s">
        <v>6</v>
      </c>
      <c r="D21" t="s">
        <v>3</v>
      </c>
      <c r="E21" t="s">
        <v>55</v>
      </c>
      <c r="F21">
        <v>99</v>
      </c>
      <c r="G21">
        <f>F21*0.10</f>
        <v>0</v>
      </c>
    </row>
    <row r="22" spans="1:7">
      <c r="A22" s="2">
        <v>45659</v>
      </c>
      <c r="B22" t="s">
        <v>48</v>
      </c>
      <c r="C22" t="s">
        <v>6</v>
      </c>
      <c r="D22" t="s">
        <v>3</v>
      </c>
      <c r="E22" t="s">
        <v>56</v>
      </c>
      <c r="F22">
        <v>99</v>
      </c>
      <c r="G22">
        <f>F22*0.10</f>
        <v>0</v>
      </c>
    </row>
    <row r="23" spans="1:7">
      <c r="A23" s="2">
        <v>45660</v>
      </c>
      <c r="B23" t="s">
        <v>49</v>
      </c>
      <c r="C23" t="s">
        <v>6</v>
      </c>
      <c r="D23" t="s">
        <v>3</v>
      </c>
      <c r="E23" t="s">
        <v>56</v>
      </c>
      <c r="F23">
        <v>99</v>
      </c>
      <c r="G23">
        <f>F23*0.10</f>
        <v>0</v>
      </c>
    </row>
    <row r="24" spans="1:7">
      <c r="A24" s="2">
        <v>45660</v>
      </c>
      <c r="B24" t="s">
        <v>49</v>
      </c>
      <c r="C24" t="s">
        <v>26</v>
      </c>
      <c r="D24" t="s">
        <v>4</v>
      </c>
      <c r="E24" t="s">
        <v>54</v>
      </c>
      <c r="F24">
        <v>149</v>
      </c>
      <c r="G24">
        <f>F24*0.10</f>
        <v>0</v>
      </c>
    </row>
    <row r="25" spans="1:7">
      <c r="A25" s="2">
        <v>45660</v>
      </c>
      <c r="B25" t="s">
        <v>49</v>
      </c>
      <c r="C25" t="s">
        <v>32</v>
      </c>
      <c r="D25" t="s">
        <v>4</v>
      </c>
      <c r="E25" t="s">
        <v>54</v>
      </c>
      <c r="F25">
        <v>399</v>
      </c>
      <c r="G25">
        <f>F25*0.10</f>
        <v>0</v>
      </c>
    </row>
    <row r="26" spans="1:7">
      <c r="A26" s="2">
        <v>45660</v>
      </c>
      <c r="B26" t="s">
        <v>49</v>
      </c>
      <c r="C26" t="s">
        <v>10</v>
      </c>
      <c r="D26" t="s">
        <v>3</v>
      </c>
      <c r="E26" t="s">
        <v>55</v>
      </c>
      <c r="F26">
        <v>499</v>
      </c>
      <c r="G26">
        <f>F26*0.10</f>
        <v>0</v>
      </c>
    </row>
    <row r="27" spans="1:7">
      <c r="A27" s="2">
        <v>45660</v>
      </c>
      <c r="B27" t="s">
        <v>49</v>
      </c>
      <c r="C27" t="s">
        <v>13</v>
      </c>
      <c r="D27" t="s">
        <v>3</v>
      </c>
      <c r="E27" t="s">
        <v>55</v>
      </c>
      <c r="F27">
        <v>1499</v>
      </c>
      <c r="G27">
        <f>F27*0.10</f>
        <v>0</v>
      </c>
    </row>
    <row r="28" spans="1:7">
      <c r="A28" s="2">
        <v>45660</v>
      </c>
      <c r="B28" t="s">
        <v>49</v>
      </c>
      <c r="C28" t="s">
        <v>6</v>
      </c>
      <c r="D28" t="s">
        <v>3</v>
      </c>
      <c r="E28" t="s">
        <v>55</v>
      </c>
      <c r="F28">
        <v>99</v>
      </c>
      <c r="G28">
        <f>F28*0.10</f>
        <v>0</v>
      </c>
    </row>
    <row r="29" spans="1:7">
      <c r="A29" s="2">
        <v>45660</v>
      </c>
      <c r="B29" t="s">
        <v>49</v>
      </c>
      <c r="C29" t="s">
        <v>32</v>
      </c>
      <c r="D29" t="s">
        <v>4</v>
      </c>
      <c r="E29" t="s">
        <v>54</v>
      </c>
      <c r="F29">
        <v>399</v>
      </c>
      <c r="G29">
        <f>F29*0.10</f>
        <v>0</v>
      </c>
    </row>
    <row r="30" spans="1:7">
      <c r="A30" s="2">
        <v>45660</v>
      </c>
      <c r="B30" t="s">
        <v>49</v>
      </c>
      <c r="C30" t="s">
        <v>23</v>
      </c>
      <c r="D30" t="s">
        <v>3</v>
      </c>
      <c r="E30" t="s">
        <v>56</v>
      </c>
      <c r="F30">
        <v>100</v>
      </c>
      <c r="G30">
        <f>F30*0.10</f>
        <v>0</v>
      </c>
    </row>
    <row r="31" spans="1:7">
      <c r="A31" s="2">
        <v>45660</v>
      </c>
      <c r="B31" t="s">
        <v>49</v>
      </c>
      <c r="C31" t="s">
        <v>7</v>
      </c>
      <c r="D31" t="s">
        <v>3</v>
      </c>
      <c r="E31" t="s">
        <v>55</v>
      </c>
      <c r="F31">
        <v>149</v>
      </c>
      <c r="G31">
        <f>F31*0.10</f>
        <v>0</v>
      </c>
    </row>
    <row r="32" spans="1:7">
      <c r="A32" s="2">
        <v>45660</v>
      </c>
      <c r="B32" t="s">
        <v>49</v>
      </c>
      <c r="C32" t="s">
        <v>6</v>
      </c>
      <c r="D32" t="s">
        <v>3</v>
      </c>
      <c r="E32" t="s">
        <v>55</v>
      </c>
      <c r="F32">
        <v>99</v>
      </c>
      <c r="G32">
        <f>F32*0.10</f>
        <v>0</v>
      </c>
    </row>
    <row r="33" spans="1:7">
      <c r="A33" s="2">
        <v>45660</v>
      </c>
      <c r="B33" t="s">
        <v>49</v>
      </c>
      <c r="C33" t="s">
        <v>7</v>
      </c>
      <c r="D33" t="s">
        <v>3</v>
      </c>
      <c r="E33" t="s">
        <v>55</v>
      </c>
      <c r="F33">
        <v>149</v>
      </c>
      <c r="G33">
        <f>F33*0.10</f>
        <v>0</v>
      </c>
    </row>
    <row r="34" spans="1:7">
      <c r="A34" s="2">
        <v>45660</v>
      </c>
      <c r="B34" t="s">
        <v>49</v>
      </c>
      <c r="C34" t="s">
        <v>11</v>
      </c>
      <c r="D34" t="s">
        <v>3</v>
      </c>
      <c r="E34" t="s">
        <v>56</v>
      </c>
      <c r="F34">
        <v>499</v>
      </c>
      <c r="G34">
        <f>F34*0.10</f>
        <v>0</v>
      </c>
    </row>
    <row r="35" spans="1:7">
      <c r="A35" s="2">
        <v>45660</v>
      </c>
      <c r="B35" t="s">
        <v>49</v>
      </c>
      <c r="C35" t="s">
        <v>31</v>
      </c>
      <c r="D35" t="s">
        <v>4</v>
      </c>
      <c r="E35" t="s">
        <v>54</v>
      </c>
      <c r="F35">
        <v>349</v>
      </c>
      <c r="G35">
        <f>F35*0.10</f>
        <v>0</v>
      </c>
    </row>
    <row r="36" spans="1:7">
      <c r="A36" s="2">
        <v>45660</v>
      </c>
      <c r="B36" t="s">
        <v>49</v>
      </c>
      <c r="C36" t="s">
        <v>18</v>
      </c>
      <c r="D36" t="s">
        <v>3</v>
      </c>
      <c r="E36" t="s">
        <v>56</v>
      </c>
      <c r="F36">
        <v>1499</v>
      </c>
      <c r="G36">
        <f>F36*0.10</f>
        <v>0</v>
      </c>
    </row>
    <row r="37" spans="1:7">
      <c r="A37" s="2">
        <v>45661</v>
      </c>
      <c r="B37" t="s">
        <v>50</v>
      </c>
      <c r="C37" t="s">
        <v>23</v>
      </c>
      <c r="D37" t="s">
        <v>3</v>
      </c>
      <c r="E37" t="s">
        <v>55</v>
      </c>
      <c r="F37">
        <v>100</v>
      </c>
      <c r="G37">
        <f>F37*0.10</f>
        <v>0</v>
      </c>
    </row>
    <row r="38" spans="1:7">
      <c r="A38" s="2">
        <v>45661</v>
      </c>
      <c r="B38" t="s">
        <v>50</v>
      </c>
      <c r="C38" t="s">
        <v>6</v>
      </c>
      <c r="D38" t="s">
        <v>3</v>
      </c>
      <c r="E38" t="s">
        <v>55</v>
      </c>
      <c r="F38">
        <v>99</v>
      </c>
      <c r="G38">
        <f>F38*0.10</f>
        <v>0</v>
      </c>
    </row>
    <row r="39" spans="1:7">
      <c r="A39" s="2">
        <v>45661</v>
      </c>
      <c r="B39" t="s">
        <v>50</v>
      </c>
      <c r="C39" t="s">
        <v>33</v>
      </c>
      <c r="D39" t="s">
        <v>4</v>
      </c>
      <c r="E39" t="s">
        <v>54</v>
      </c>
      <c r="F39">
        <v>399</v>
      </c>
      <c r="G39">
        <f>F39*0.10</f>
        <v>0</v>
      </c>
    </row>
    <row r="40" spans="1:7">
      <c r="A40" s="2">
        <v>45661</v>
      </c>
      <c r="B40" t="s">
        <v>50</v>
      </c>
      <c r="C40" t="s">
        <v>31</v>
      </c>
      <c r="D40" t="s">
        <v>4</v>
      </c>
      <c r="E40" t="s">
        <v>54</v>
      </c>
      <c r="F40">
        <v>349</v>
      </c>
      <c r="G40">
        <f>F40*0.10</f>
        <v>0</v>
      </c>
    </row>
    <row r="41" spans="1:7">
      <c r="A41" s="2">
        <v>45661</v>
      </c>
      <c r="B41" t="s">
        <v>50</v>
      </c>
      <c r="C41" t="s">
        <v>23</v>
      </c>
      <c r="D41" t="s">
        <v>3</v>
      </c>
      <c r="E41" t="s">
        <v>56</v>
      </c>
      <c r="F41">
        <v>100</v>
      </c>
      <c r="G41">
        <f>F41*0.10</f>
        <v>0</v>
      </c>
    </row>
    <row r="42" spans="1:7">
      <c r="A42" s="2">
        <v>45661</v>
      </c>
      <c r="B42" t="s">
        <v>50</v>
      </c>
      <c r="C42" t="s">
        <v>21</v>
      </c>
      <c r="D42" t="s">
        <v>3</v>
      </c>
      <c r="E42" t="s">
        <v>55</v>
      </c>
      <c r="F42">
        <v>1999</v>
      </c>
      <c r="G42">
        <f>F42*0.10</f>
        <v>0</v>
      </c>
    </row>
    <row r="43" spans="1:7">
      <c r="A43" s="2">
        <v>45661</v>
      </c>
      <c r="B43" t="s">
        <v>50</v>
      </c>
      <c r="C43" t="s">
        <v>23</v>
      </c>
      <c r="D43" t="s">
        <v>3</v>
      </c>
      <c r="E43" t="s">
        <v>55</v>
      </c>
      <c r="F43">
        <v>100</v>
      </c>
      <c r="G43">
        <f>F43*0.10</f>
        <v>0</v>
      </c>
    </row>
    <row r="44" spans="1:7">
      <c r="A44" s="2">
        <v>45661</v>
      </c>
      <c r="B44" t="s">
        <v>50</v>
      </c>
      <c r="C44" t="s">
        <v>12</v>
      </c>
      <c r="D44" t="s">
        <v>3</v>
      </c>
      <c r="E44" t="s">
        <v>55</v>
      </c>
      <c r="F44">
        <v>699</v>
      </c>
      <c r="G44">
        <f>F44*0.10</f>
        <v>0</v>
      </c>
    </row>
    <row r="45" spans="1:7">
      <c r="A45" s="2">
        <v>45661</v>
      </c>
      <c r="B45" t="s">
        <v>50</v>
      </c>
      <c r="C45" t="s">
        <v>7</v>
      </c>
      <c r="D45" t="s">
        <v>3</v>
      </c>
      <c r="E45" t="s">
        <v>55</v>
      </c>
      <c r="F45">
        <v>149</v>
      </c>
      <c r="G45">
        <f>F45*0.10</f>
        <v>0</v>
      </c>
    </row>
    <row r="46" spans="1:7">
      <c r="A46" s="2">
        <v>45662</v>
      </c>
      <c r="B46" t="s">
        <v>51</v>
      </c>
      <c r="C46" t="s">
        <v>23</v>
      </c>
      <c r="D46" t="s">
        <v>3</v>
      </c>
      <c r="E46" t="s">
        <v>55</v>
      </c>
      <c r="F46">
        <v>100</v>
      </c>
      <c r="G46">
        <f>F46*0.10</f>
        <v>0</v>
      </c>
    </row>
    <row r="47" spans="1:7">
      <c r="A47" s="2">
        <v>45662</v>
      </c>
      <c r="B47" t="s">
        <v>51</v>
      </c>
      <c r="C47" t="s">
        <v>12</v>
      </c>
      <c r="D47" t="s">
        <v>3</v>
      </c>
      <c r="E47" t="s">
        <v>55</v>
      </c>
      <c r="F47">
        <v>699</v>
      </c>
      <c r="G47">
        <f>F47*0.10</f>
        <v>0</v>
      </c>
    </row>
    <row r="48" spans="1:7">
      <c r="A48" s="2">
        <v>45662</v>
      </c>
      <c r="B48" t="s">
        <v>51</v>
      </c>
      <c r="C48" t="s">
        <v>19</v>
      </c>
      <c r="D48" t="s">
        <v>3</v>
      </c>
      <c r="E48" t="s">
        <v>55</v>
      </c>
      <c r="F48">
        <v>1499</v>
      </c>
      <c r="G48">
        <f>F48*0.10</f>
        <v>0</v>
      </c>
    </row>
    <row r="49" spans="1:7">
      <c r="A49" s="2">
        <v>45662</v>
      </c>
      <c r="B49" t="s">
        <v>51</v>
      </c>
      <c r="C49" t="s">
        <v>14</v>
      </c>
      <c r="D49" t="s">
        <v>3</v>
      </c>
      <c r="E49" t="s">
        <v>56</v>
      </c>
      <c r="F49">
        <v>1999</v>
      </c>
      <c r="G49">
        <f>F49*0.10</f>
        <v>0</v>
      </c>
    </row>
    <row r="50" spans="1:7">
      <c r="A50" s="2">
        <v>45662</v>
      </c>
      <c r="B50" t="s">
        <v>51</v>
      </c>
      <c r="C50" t="s">
        <v>9</v>
      </c>
      <c r="D50" t="s">
        <v>3</v>
      </c>
      <c r="E50" t="s">
        <v>56</v>
      </c>
      <c r="F50">
        <v>349</v>
      </c>
      <c r="G50">
        <f>F50*0.10</f>
        <v>0</v>
      </c>
    </row>
    <row r="51" spans="1:7">
      <c r="A51" s="2">
        <v>45662</v>
      </c>
      <c r="B51" t="s">
        <v>51</v>
      </c>
      <c r="C51" t="s">
        <v>26</v>
      </c>
      <c r="D51" t="s">
        <v>4</v>
      </c>
      <c r="E51" t="s">
        <v>54</v>
      </c>
      <c r="F51">
        <v>149</v>
      </c>
      <c r="G51">
        <f>F51*0.10</f>
        <v>0</v>
      </c>
    </row>
    <row r="52" spans="1:7">
      <c r="A52" s="2">
        <v>45662</v>
      </c>
      <c r="B52" t="s">
        <v>51</v>
      </c>
      <c r="C52" t="s">
        <v>6</v>
      </c>
      <c r="D52" t="s">
        <v>3</v>
      </c>
      <c r="E52" t="s">
        <v>56</v>
      </c>
      <c r="F52">
        <v>99</v>
      </c>
      <c r="G52">
        <f>F52*0.10</f>
        <v>0</v>
      </c>
    </row>
    <row r="53" spans="1:7">
      <c r="A53" s="2">
        <v>45662</v>
      </c>
      <c r="B53" t="s">
        <v>51</v>
      </c>
      <c r="C53" t="s">
        <v>6</v>
      </c>
      <c r="D53" t="s">
        <v>3</v>
      </c>
      <c r="E53" t="s">
        <v>55</v>
      </c>
      <c r="F53">
        <v>99</v>
      </c>
      <c r="G53">
        <f>F53*0.10</f>
        <v>0</v>
      </c>
    </row>
    <row r="54" spans="1:7">
      <c r="A54" s="2">
        <v>45662</v>
      </c>
      <c r="B54" t="s">
        <v>51</v>
      </c>
      <c r="C54" t="s">
        <v>34</v>
      </c>
      <c r="D54" t="s">
        <v>4</v>
      </c>
      <c r="E54" t="s">
        <v>54</v>
      </c>
      <c r="F54">
        <v>599</v>
      </c>
      <c r="G54">
        <f>F54*0.10</f>
        <v>0</v>
      </c>
    </row>
    <row r="55" spans="1:7">
      <c r="A55" s="2">
        <v>45662</v>
      </c>
      <c r="B55" t="s">
        <v>51</v>
      </c>
      <c r="C55" t="s">
        <v>17</v>
      </c>
      <c r="D55" t="s">
        <v>3</v>
      </c>
      <c r="E55" t="s">
        <v>55</v>
      </c>
      <c r="F55">
        <v>1999</v>
      </c>
      <c r="G55">
        <f>F55*0.10</f>
        <v>0</v>
      </c>
    </row>
    <row r="56" spans="1:7">
      <c r="A56" s="2">
        <v>45662</v>
      </c>
      <c r="B56" t="s">
        <v>51</v>
      </c>
      <c r="C56" t="s">
        <v>26</v>
      </c>
      <c r="D56" t="s">
        <v>4</v>
      </c>
      <c r="E56" t="s">
        <v>54</v>
      </c>
      <c r="F56">
        <v>149</v>
      </c>
      <c r="G56">
        <f>F56*0.10</f>
        <v>0</v>
      </c>
    </row>
    <row r="57" spans="1:7">
      <c r="A57" s="2">
        <v>45662</v>
      </c>
      <c r="B57" t="s">
        <v>51</v>
      </c>
      <c r="C57" t="s">
        <v>6</v>
      </c>
      <c r="D57" t="s">
        <v>3</v>
      </c>
      <c r="E57" t="s">
        <v>55</v>
      </c>
      <c r="F57">
        <v>99</v>
      </c>
      <c r="G57">
        <f>F57*0.10</f>
        <v>0</v>
      </c>
    </row>
    <row r="58" spans="1:7">
      <c r="A58" s="2">
        <v>45662</v>
      </c>
      <c r="B58" t="s">
        <v>51</v>
      </c>
      <c r="C58" t="s">
        <v>9</v>
      </c>
      <c r="D58" t="s">
        <v>3</v>
      </c>
      <c r="E58" t="s">
        <v>55</v>
      </c>
      <c r="F58">
        <v>349</v>
      </c>
      <c r="G58">
        <f>F58*0.10</f>
        <v>0</v>
      </c>
    </row>
    <row r="59" spans="1:7">
      <c r="A59" s="2">
        <v>45662</v>
      </c>
      <c r="B59" t="s">
        <v>51</v>
      </c>
      <c r="C59" t="s">
        <v>32</v>
      </c>
      <c r="D59" t="s">
        <v>4</v>
      </c>
      <c r="E59" t="s">
        <v>54</v>
      </c>
      <c r="F59">
        <v>399</v>
      </c>
      <c r="G59">
        <f>F59*0.10</f>
        <v>0</v>
      </c>
    </row>
    <row r="60" spans="1:7">
      <c r="A60" s="2">
        <v>45662</v>
      </c>
      <c r="B60" t="s">
        <v>51</v>
      </c>
      <c r="C60" t="s">
        <v>9</v>
      </c>
      <c r="D60" t="s">
        <v>3</v>
      </c>
      <c r="E60" t="s">
        <v>55</v>
      </c>
      <c r="F60">
        <v>349</v>
      </c>
      <c r="G60">
        <f>F60*0.10</f>
        <v>0</v>
      </c>
    </row>
    <row r="61" spans="1:7">
      <c r="A61" s="2">
        <v>45663</v>
      </c>
      <c r="B61" t="s">
        <v>52</v>
      </c>
      <c r="C61" t="s">
        <v>24</v>
      </c>
      <c r="D61" t="s">
        <v>3</v>
      </c>
      <c r="E61" t="s">
        <v>56</v>
      </c>
      <c r="F61">
        <v>2499</v>
      </c>
      <c r="G61">
        <f>F61*0.10</f>
        <v>0</v>
      </c>
    </row>
    <row r="62" spans="1:7">
      <c r="A62" s="2">
        <v>45663</v>
      </c>
      <c r="B62" t="s">
        <v>52</v>
      </c>
      <c r="C62" t="s">
        <v>32</v>
      </c>
      <c r="D62" t="s">
        <v>4</v>
      </c>
      <c r="E62" t="s">
        <v>54</v>
      </c>
      <c r="F62">
        <v>399</v>
      </c>
      <c r="G62">
        <f>F62*0.10</f>
        <v>0</v>
      </c>
    </row>
    <row r="63" spans="1:7">
      <c r="A63" s="2">
        <v>45663</v>
      </c>
      <c r="B63" t="s">
        <v>52</v>
      </c>
      <c r="C63" t="s">
        <v>26</v>
      </c>
      <c r="D63" t="s">
        <v>4</v>
      </c>
      <c r="E63" t="s">
        <v>54</v>
      </c>
      <c r="F63">
        <v>149</v>
      </c>
      <c r="G63">
        <f>F63*0.10</f>
        <v>0</v>
      </c>
    </row>
    <row r="64" spans="1:7">
      <c r="A64" s="2">
        <v>45663</v>
      </c>
      <c r="B64" t="s">
        <v>52</v>
      </c>
      <c r="C64" t="s">
        <v>17</v>
      </c>
      <c r="D64" t="s">
        <v>3</v>
      </c>
      <c r="E64" t="s">
        <v>56</v>
      </c>
      <c r="F64">
        <v>1999</v>
      </c>
      <c r="G64">
        <f>F64*0.10</f>
        <v>0</v>
      </c>
    </row>
    <row r="65" spans="1:7">
      <c r="A65" s="2">
        <v>45663</v>
      </c>
      <c r="B65" t="s">
        <v>52</v>
      </c>
      <c r="C65" t="s">
        <v>23</v>
      </c>
      <c r="D65" t="s">
        <v>3</v>
      </c>
      <c r="E65" t="s">
        <v>55</v>
      </c>
      <c r="F65">
        <v>100</v>
      </c>
      <c r="G65">
        <f>F65*0.10</f>
        <v>0</v>
      </c>
    </row>
    <row r="66" spans="1:7">
      <c r="A66" s="2">
        <v>45663</v>
      </c>
      <c r="B66" t="s">
        <v>52</v>
      </c>
      <c r="C66" t="s">
        <v>23</v>
      </c>
      <c r="D66" t="s">
        <v>3</v>
      </c>
      <c r="E66" t="s">
        <v>55</v>
      </c>
      <c r="F66">
        <v>100</v>
      </c>
      <c r="G66">
        <f>F66*0.10</f>
        <v>0</v>
      </c>
    </row>
    <row r="67" spans="1:7">
      <c r="A67" s="2">
        <v>45663</v>
      </c>
      <c r="B67" t="s">
        <v>52</v>
      </c>
      <c r="C67" t="s">
        <v>18</v>
      </c>
      <c r="D67" t="s">
        <v>3</v>
      </c>
      <c r="E67" t="s">
        <v>56</v>
      </c>
      <c r="F67">
        <v>1499</v>
      </c>
      <c r="G67">
        <f>F67*0.10</f>
        <v>0</v>
      </c>
    </row>
    <row r="68" spans="1:7">
      <c r="A68" s="2">
        <v>45663</v>
      </c>
      <c r="B68" t="s">
        <v>52</v>
      </c>
      <c r="C68" t="s">
        <v>19</v>
      </c>
      <c r="D68" t="s">
        <v>3</v>
      </c>
      <c r="E68" t="s">
        <v>55</v>
      </c>
      <c r="F68">
        <v>1499</v>
      </c>
      <c r="G68">
        <f>F68*0.10</f>
        <v>0</v>
      </c>
    </row>
    <row r="69" spans="1:7">
      <c r="A69" s="2">
        <v>45663</v>
      </c>
      <c r="B69" t="s">
        <v>52</v>
      </c>
      <c r="C69" t="s">
        <v>9</v>
      </c>
      <c r="D69" t="s">
        <v>3</v>
      </c>
      <c r="E69" t="s">
        <v>56</v>
      </c>
      <c r="F69">
        <v>349</v>
      </c>
      <c r="G69">
        <f>F69*0.10</f>
        <v>0</v>
      </c>
    </row>
    <row r="70" spans="1:7">
      <c r="A70" s="2">
        <v>45663</v>
      </c>
      <c r="B70" t="s">
        <v>52</v>
      </c>
      <c r="C70" t="s">
        <v>6</v>
      </c>
      <c r="D70" t="s">
        <v>3</v>
      </c>
      <c r="E70" t="s">
        <v>56</v>
      </c>
      <c r="F70">
        <v>99</v>
      </c>
      <c r="G70">
        <f>F70*0.10</f>
        <v>0</v>
      </c>
    </row>
    <row r="71" spans="1:7">
      <c r="A71" s="2">
        <v>45663</v>
      </c>
      <c r="B71" t="s">
        <v>52</v>
      </c>
      <c r="C71" t="s">
        <v>23</v>
      </c>
      <c r="D71" t="s">
        <v>3</v>
      </c>
      <c r="E71" t="s">
        <v>55</v>
      </c>
      <c r="F71">
        <v>100</v>
      </c>
      <c r="G71">
        <f>F71*0.10</f>
        <v>0</v>
      </c>
    </row>
    <row r="72" spans="1:7">
      <c r="A72" s="2">
        <v>45663</v>
      </c>
      <c r="B72" t="s">
        <v>52</v>
      </c>
      <c r="C72" t="s">
        <v>16</v>
      </c>
      <c r="D72" t="s">
        <v>3</v>
      </c>
      <c r="E72" t="s">
        <v>55</v>
      </c>
      <c r="F72">
        <v>3199</v>
      </c>
      <c r="G72">
        <f>F72*0.10</f>
        <v>0</v>
      </c>
    </row>
    <row r="73" spans="1:7">
      <c r="A73" s="2">
        <v>45664</v>
      </c>
      <c r="B73" t="s">
        <v>53</v>
      </c>
      <c r="C73" t="s">
        <v>20</v>
      </c>
      <c r="D73" t="s">
        <v>3</v>
      </c>
      <c r="E73" t="s">
        <v>56</v>
      </c>
      <c r="F73">
        <v>1499</v>
      </c>
      <c r="G73">
        <f>F73*0.10</f>
        <v>0</v>
      </c>
    </row>
    <row r="74" spans="1:7">
      <c r="A74" s="2">
        <v>45664</v>
      </c>
      <c r="B74" t="s">
        <v>53</v>
      </c>
      <c r="C74" t="s">
        <v>23</v>
      </c>
      <c r="D74" t="s">
        <v>3</v>
      </c>
      <c r="E74" t="s">
        <v>56</v>
      </c>
      <c r="F74">
        <v>100</v>
      </c>
      <c r="G74">
        <f>F74*0.10</f>
        <v>0</v>
      </c>
    </row>
    <row r="75" spans="1:7">
      <c r="A75" s="2">
        <v>45664</v>
      </c>
      <c r="B75" t="s">
        <v>53</v>
      </c>
      <c r="C75" t="s">
        <v>6</v>
      </c>
      <c r="D75" t="s">
        <v>3</v>
      </c>
      <c r="E75" t="s">
        <v>56</v>
      </c>
      <c r="F75">
        <v>99</v>
      </c>
      <c r="G75">
        <f>F75*0.10</f>
        <v>0</v>
      </c>
    </row>
    <row r="76" spans="1:7">
      <c r="A76" s="2">
        <v>45664</v>
      </c>
      <c r="B76" t="s">
        <v>53</v>
      </c>
      <c r="C76" t="s">
        <v>6</v>
      </c>
      <c r="D76" t="s">
        <v>3</v>
      </c>
      <c r="E76" t="s">
        <v>55</v>
      </c>
      <c r="F76">
        <v>99</v>
      </c>
      <c r="G76">
        <f>F76*0.10</f>
        <v>0</v>
      </c>
    </row>
    <row r="77" spans="1:7">
      <c r="A77" s="2">
        <v>45664</v>
      </c>
      <c r="B77" t="s">
        <v>53</v>
      </c>
      <c r="C77" t="s">
        <v>12</v>
      </c>
      <c r="D77" t="s">
        <v>3</v>
      </c>
      <c r="E77" t="s">
        <v>55</v>
      </c>
      <c r="F77">
        <v>699</v>
      </c>
      <c r="G77">
        <f>F77*0.10</f>
        <v>0</v>
      </c>
    </row>
    <row r="78" spans="1:7">
      <c r="A78" s="2">
        <v>45664</v>
      </c>
      <c r="B78" t="s">
        <v>53</v>
      </c>
      <c r="C78" t="s">
        <v>26</v>
      </c>
      <c r="D78" t="s">
        <v>4</v>
      </c>
      <c r="E78" t="s">
        <v>54</v>
      </c>
      <c r="F78">
        <v>149</v>
      </c>
      <c r="G78">
        <f>F78*0.10</f>
        <v>0</v>
      </c>
    </row>
    <row r="79" spans="1:7">
      <c r="A79" s="2">
        <v>45664</v>
      </c>
      <c r="B79" t="s">
        <v>53</v>
      </c>
      <c r="C79" t="s">
        <v>29</v>
      </c>
      <c r="D79" t="s">
        <v>4</v>
      </c>
      <c r="E79" t="s">
        <v>54</v>
      </c>
      <c r="F79">
        <v>299</v>
      </c>
      <c r="G79">
        <f>F79*0.10</f>
        <v>0</v>
      </c>
    </row>
    <row r="80" spans="1:7">
      <c r="A80" s="2">
        <v>45665</v>
      </c>
      <c r="B80" t="s">
        <v>47</v>
      </c>
      <c r="C80" t="s">
        <v>10</v>
      </c>
      <c r="D80" t="s">
        <v>3</v>
      </c>
      <c r="E80" t="s">
        <v>56</v>
      </c>
      <c r="F80">
        <v>499</v>
      </c>
      <c r="G80">
        <f>F80*0.10</f>
        <v>0</v>
      </c>
    </row>
    <row r="81" spans="1:7">
      <c r="A81" s="2">
        <v>45665</v>
      </c>
      <c r="B81" t="s">
        <v>47</v>
      </c>
      <c r="C81" t="s">
        <v>24</v>
      </c>
      <c r="D81" t="s">
        <v>3</v>
      </c>
      <c r="E81" t="s">
        <v>55</v>
      </c>
      <c r="F81">
        <v>2499</v>
      </c>
      <c r="G81">
        <f>F81*0.10</f>
        <v>0</v>
      </c>
    </row>
    <row r="82" spans="1:7">
      <c r="A82" s="2">
        <v>45665</v>
      </c>
      <c r="B82" t="s">
        <v>47</v>
      </c>
      <c r="C82" t="s">
        <v>25</v>
      </c>
      <c r="D82" t="s">
        <v>4</v>
      </c>
      <c r="E82" t="s">
        <v>54</v>
      </c>
      <c r="F82">
        <v>119</v>
      </c>
      <c r="G82">
        <f>F82*0.10</f>
        <v>0</v>
      </c>
    </row>
    <row r="83" spans="1:7">
      <c r="A83" s="2">
        <v>45665</v>
      </c>
      <c r="B83" t="s">
        <v>47</v>
      </c>
      <c r="C83" t="s">
        <v>23</v>
      </c>
      <c r="D83" t="s">
        <v>3</v>
      </c>
      <c r="E83" t="s">
        <v>55</v>
      </c>
      <c r="F83">
        <v>100</v>
      </c>
      <c r="G83">
        <f>F83*0.10</f>
        <v>0</v>
      </c>
    </row>
    <row r="84" spans="1:7">
      <c r="A84" s="2">
        <v>45665</v>
      </c>
      <c r="B84" t="s">
        <v>47</v>
      </c>
      <c r="C84" t="s">
        <v>11</v>
      </c>
      <c r="D84" t="s">
        <v>3</v>
      </c>
      <c r="E84" t="s">
        <v>56</v>
      </c>
      <c r="F84">
        <v>499</v>
      </c>
      <c r="G84">
        <f>F84*0.10</f>
        <v>0</v>
      </c>
    </row>
    <row r="85" spans="1:7">
      <c r="A85" s="2">
        <v>45665</v>
      </c>
      <c r="B85" t="s">
        <v>47</v>
      </c>
      <c r="C85" t="s">
        <v>9</v>
      </c>
      <c r="D85" t="s">
        <v>3</v>
      </c>
      <c r="E85" t="s">
        <v>56</v>
      </c>
      <c r="F85">
        <v>349</v>
      </c>
      <c r="G85">
        <f>F85*0.10</f>
        <v>0</v>
      </c>
    </row>
    <row r="86" spans="1:7">
      <c r="A86" s="2">
        <v>45665</v>
      </c>
      <c r="B86" t="s">
        <v>47</v>
      </c>
      <c r="C86" t="s">
        <v>12</v>
      </c>
      <c r="D86" t="s">
        <v>3</v>
      </c>
      <c r="E86" t="s">
        <v>56</v>
      </c>
      <c r="F86">
        <v>699</v>
      </c>
      <c r="G86">
        <f>F86*0.10</f>
        <v>0</v>
      </c>
    </row>
    <row r="87" spans="1:7">
      <c r="A87" s="2">
        <v>45666</v>
      </c>
      <c r="B87" t="s">
        <v>48</v>
      </c>
      <c r="C87" t="s">
        <v>7</v>
      </c>
      <c r="D87" t="s">
        <v>3</v>
      </c>
      <c r="E87" t="s">
        <v>55</v>
      </c>
      <c r="F87">
        <v>149</v>
      </c>
      <c r="G87">
        <f>F87*0.10</f>
        <v>0</v>
      </c>
    </row>
    <row r="88" spans="1:7">
      <c r="A88" s="2">
        <v>45666</v>
      </c>
      <c r="B88" t="s">
        <v>48</v>
      </c>
      <c r="C88" t="s">
        <v>31</v>
      </c>
      <c r="D88" t="s">
        <v>4</v>
      </c>
      <c r="E88" t="s">
        <v>54</v>
      </c>
      <c r="F88">
        <v>349</v>
      </c>
      <c r="G88">
        <f>F88*0.10</f>
        <v>0</v>
      </c>
    </row>
    <row r="89" spans="1:7">
      <c r="A89" s="2">
        <v>45666</v>
      </c>
      <c r="B89" t="s">
        <v>48</v>
      </c>
      <c r="C89" t="s">
        <v>26</v>
      </c>
      <c r="D89" t="s">
        <v>4</v>
      </c>
      <c r="E89" t="s">
        <v>54</v>
      </c>
      <c r="F89">
        <v>149</v>
      </c>
      <c r="G89">
        <f>F89*0.10</f>
        <v>0</v>
      </c>
    </row>
    <row r="90" spans="1:7">
      <c r="A90" s="2">
        <v>45666</v>
      </c>
      <c r="B90" t="s">
        <v>48</v>
      </c>
      <c r="C90" t="s">
        <v>10</v>
      </c>
      <c r="D90" t="s">
        <v>3</v>
      </c>
      <c r="E90" t="s">
        <v>56</v>
      </c>
      <c r="F90">
        <v>499</v>
      </c>
      <c r="G90">
        <f>F90*0.10</f>
        <v>0</v>
      </c>
    </row>
    <row r="91" spans="1:7">
      <c r="A91" s="2">
        <v>45666</v>
      </c>
      <c r="B91" t="s">
        <v>48</v>
      </c>
      <c r="C91" t="s">
        <v>7</v>
      </c>
      <c r="D91" t="s">
        <v>3</v>
      </c>
      <c r="E91" t="s">
        <v>55</v>
      </c>
      <c r="F91">
        <v>149</v>
      </c>
      <c r="G91">
        <f>F91*0.10</f>
        <v>0</v>
      </c>
    </row>
    <row r="92" spans="1:7">
      <c r="A92" s="2">
        <v>45666</v>
      </c>
      <c r="B92" t="s">
        <v>48</v>
      </c>
      <c r="C92" t="s">
        <v>9</v>
      </c>
      <c r="D92" t="s">
        <v>3</v>
      </c>
      <c r="E92" t="s">
        <v>55</v>
      </c>
      <c r="F92">
        <v>349</v>
      </c>
      <c r="G92">
        <f>F92*0.10</f>
        <v>0</v>
      </c>
    </row>
    <row r="93" spans="1:7">
      <c r="A93" s="2">
        <v>45666</v>
      </c>
      <c r="B93" t="s">
        <v>48</v>
      </c>
      <c r="C93" t="s">
        <v>23</v>
      </c>
      <c r="D93" t="s">
        <v>3</v>
      </c>
      <c r="E93" t="s">
        <v>56</v>
      </c>
      <c r="F93">
        <v>100</v>
      </c>
      <c r="G93">
        <f>F93*0.10</f>
        <v>0</v>
      </c>
    </row>
    <row r="94" spans="1:7">
      <c r="A94" s="2">
        <v>45666</v>
      </c>
      <c r="B94" t="s">
        <v>48</v>
      </c>
      <c r="C94" t="s">
        <v>6</v>
      </c>
      <c r="D94" t="s">
        <v>3</v>
      </c>
      <c r="E94" t="s">
        <v>56</v>
      </c>
      <c r="F94">
        <v>99</v>
      </c>
      <c r="G94">
        <f>F94*0.10</f>
        <v>0</v>
      </c>
    </row>
    <row r="95" spans="1:7">
      <c r="A95" s="2">
        <v>45666</v>
      </c>
      <c r="B95" t="s">
        <v>48</v>
      </c>
      <c r="C95" t="s">
        <v>23</v>
      </c>
      <c r="D95" t="s">
        <v>3</v>
      </c>
      <c r="E95" t="s">
        <v>55</v>
      </c>
      <c r="F95">
        <v>100</v>
      </c>
      <c r="G95">
        <f>F95*0.10</f>
        <v>0</v>
      </c>
    </row>
    <row r="96" spans="1:7">
      <c r="A96" s="2">
        <v>45666</v>
      </c>
      <c r="B96" t="s">
        <v>48</v>
      </c>
      <c r="C96" t="s">
        <v>28</v>
      </c>
      <c r="D96" t="s">
        <v>4</v>
      </c>
      <c r="E96" t="s">
        <v>54</v>
      </c>
      <c r="F96">
        <v>499</v>
      </c>
      <c r="G96">
        <f>F96*0.10</f>
        <v>0</v>
      </c>
    </row>
    <row r="97" spans="1:7">
      <c r="A97" s="2">
        <v>45666</v>
      </c>
      <c r="B97" t="s">
        <v>48</v>
      </c>
      <c r="C97" t="s">
        <v>8</v>
      </c>
      <c r="D97" t="s">
        <v>3</v>
      </c>
      <c r="E97" t="s">
        <v>55</v>
      </c>
      <c r="F97">
        <v>199</v>
      </c>
      <c r="G97">
        <f>F97*0.10</f>
        <v>0</v>
      </c>
    </row>
    <row r="98" spans="1:7">
      <c r="A98" s="2">
        <v>45667</v>
      </c>
      <c r="B98" t="s">
        <v>49</v>
      </c>
      <c r="C98" t="s">
        <v>11</v>
      </c>
      <c r="D98" t="s">
        <v>3</v>
      </c>
      <c r="E98" t="s">
        <v>55</v>
      </c>
      <c r="F98">
        <v>499</v>
      </c>
      <c r="G98">
        <f>F98*0.10</f>
        <v>0</v>
      </c>
    </row>
    <row r="99" spans="1:7">
      <c r="A99" s="2">
        <v>45667</v>
      </c>
      <c r="B99" t="s">
        <v>49</v>
      </c>
      <c r="C99" t="s">
        <v>9</v>
      </c>
      <c r="D99" t="s">
        <v>3</v>
      </c>
      <c r="E99" t="s">
        <v>55</v>
      </c>
      <c r="F99">
        <v>349</v>
      </c>
      <c r="G99">
        <f>F99*0.10</f>
        <v>0</v>
      </c>
    </row>
    <row r="100" spans="1:7">
      <c r="A100" s="2">
        <v>45667</v>
      </c>
      <c r="B100" t="s">
        <v>49</v>
      </c>
      <c r="C100" t="s">
        <v>9</v>
      </c>
      <c r="D100" t="s">
        <v>3</v>
      </c>
      <c r="E100" t="s">
        <v>56</v>
      </c>
      <c r="F100">
        <v>349</v>
      </c>
      <c r="G100">
        <f>F100*0.10</f>
        <v>0</v>
      </c>
    </row>
    <row r="101" spans="1:7">
      <c r="A101" s="2">
        <v>45667</v>
      </c>
      <c r="B101" t="s">
        <v>49</v>
      </c>
      <c r="C101" t="s">
        <v>7</v>
      </c>
      <c r="D101" t="s">
        <v>3</v>
      </c>
      <c r="E101" t="s">
        <v>56</v>
      </c>
      <c r="F101">
        <v>149</v>
      </c>
      <c r="G101">
        <f>F101*0.10</f>
        <v>0</v>
      </c>
    </row>
    <row r="102" spans="1:7">
      <c r="A102" s="2">
        <v>45667</v>
      </c>
      <c r="B102" t="s">
        <v>49</v>
      </c>
      <c r="C102" t="s">
        <v>8</v>
      </c>
      <c r="D102" t="s">
        <v>3</v>
      </c>
      <c r="E102" t="s">
        <v>55</v>
      </c>
      <c r="F102">
        <v>199</v>
      </c>
      <c r="G102">
        <f>F102*0.10</f>
        <v>0</v>
      </c>
    </row>
    <row r="103" spans="1:7">
      <c r="A103" s="2">
        <v>45667</v>
      </c>
      <c r="B103" t="s">
        <v>49</v>
      </c>
      <c r="C103" t="s">
        <v>19</v>
      </c>
      <c r="D103" t="s">
        <v>3</v>
      </c>
      <c r="E103" t="s">
        <v>56</v>
      </c>
      <c r="F103">
        <v>1499</v>
      </c>
      <c r="G103">
        <f>F103*0.10</f>
        <v>0</v>
      </c>
    </row>
    <row r="104" spans="1:7">
      <c r="A104" s="2">
        <v>45667</v>
      </c>
      <c r="B104" t="s">
        <v>49</v>
      </c>
      <c r="C104" t="s">
        <v>23</v>
      </c>
      <c r="D104" t="s">
        <v>3</v>
      </c>
      <c r="E104" t="s">
        <v>55</v>
      </c>
      <c r="F104">
        <v>100</v>
      </c>
      <c r="G104">
        <f>F104*0.10</f>
        <v>0</v>
      </c>
    </row>
    <row r="105" spans="1:7">
      <c r="A105" s="2">
        <v>45667</v>
      </c>
      <c r="B105" t="s">
        <v>49</v>
      </c>
      <c r="C105" t="s">
        <v>31</v>
      </c>
      <c r="D105" t="s">
        <v>4</v>
      </c>
      <c r="E105" t="s">
        <v>54</v>
      </c>
      <c r="F105">
        <v>349</v>
      </c>
      <c r="G105">
        <f>F105*0.10</f>
        <v>0</v>
      </c>
    </row>
    <row r="106" spans="1:7">
      <c r="A106" s="2">
        <v>45667</v>
      </c>
      <c r="B106" t="s">
        <v>49</v>
      </c>
      <c r="C106" t="s">
        <v>8</v>
      </c>
      <c r="D106" t="s">
        <v>3</v>
      </c>
      <c r="E106" t="s">
        <v>55</v>
      </c>
      <c r="F106">
        <v>199</v>
      </c>
      <c r="G106">
        <f>F106*0.10</f>
        <v>0</v>
      </c>
    </row>
    <row r="107" spans="1:7">
      <c r="A107" s="2">
        <v>45667</v>
      </c>
      <c r="B107" t="s">
        <v>49</v>
      </c>
      <c r="C107" t="s">
        <v>6</v>
      </c>
      <c r="D107" t="s">
        <v>3</v>
      </c>
      <c r="E107" t="s">
        <v>55</v>
      </c>
      <c r="F107">
        <v>99</v>
      </c>
      <c r="G107">
        <f>F107*0.10</f>
        <v>0</v>
      </c>
    </row>
    <row r="108" spans="1:7">
      <c r="A108" s="2">
        <v>45667</v>
      </c>
      <c r="B108" t="s">
        <v>49</v>
      </c>
      <c r="C108" t="s">
        <v>26</v>
      </c>
      <c r="D108" t="s">
        <v>4</v>
      </c>
      <c r="E108" t="s">
        <v>54</v>
      </c>
      <c r="F108">
        <v>149</v>
      </c>
      <c r="G108">
        <f>F108*0.10</f>
        <v>0</v>
      </c>
    </row>
    <row r="109" spans="1:7">
      <c r="A109" s="2">
        <v>45667</v>
      </c>
      <c r="B109" t="s">
        <v>49</v>
      </c>
      <c r="C109" t="s">
        <v>23</v>
      </c>
      <c r="D109" t="s">
        <v>3</v>
      </c>
      <c r="E109" t="s">
        <v>56</v>
      </c>
      <c r="F109">
        <v>100</v>
      </c>
      <c r="G109">
        <f>F109*0.10</f>
        <v>0</v>
      </c>
    </row>
    <row r="110" spans="1:7">
      <c r="A110" s="2">
        <v>45667</v>
      </c>
      <c r="B110" t="s">
        <v>49</v>
      </c>
      <c r="C110" t="s">
        <v>27</v>
      </c>
      <c r="D110" t="s">
        <v>4</v>
      </c>
      <c r="E110" t="s">
        <v>54</v>
      </c>
      <c r="F110">
        <v>269</v>
      </c>
      <c r="G110">
        <f>F110*0.10</f>
        <v>0</v>
      </c>
    </row>
    <row r="111" spans="1:7">
      <c r="A111" s="2">
        <v>45667</v>
      </c>
      <c r="B111" t="s">
        <v>49</v>
      </c>
      <c r="C111" t="s">
        <v>11</v>
      </c>
      <c r="D111" t="s">
        <v>3</v>
      </c>
      <c r="E111" t="s">
        <v>55</v>
      </c>
      <c r="F111">
        <v>499</v>
      </c>
      <c r="G111">
        <f>F111*0.10</f>
        <v>0</v>
      </c>
    </row>
    <row r="112" spans="1:7">
      <c r="A112" s="2">
        <v>45668</v>
      </c>
      <c r="B112" t="s">
        <v>50</v>
      </c>
      <c r="C112" t="s">
        <v>6</v>
      </c>
      <c r="D112" t="s">
        <v>3</v>
      </c>
      <c r="E112" t="s">
        <v>55</v>
      </c>
      <c r="F112">
        <v>99</v>
      </c>
      <c r="G112">
        <f>F112*0.10</f>
        <v>0</v>
      </c>
    </row>
    <row r="113" spans="1:7">
      <c r="A113" s="2">
        <v>45668</v>
      </c>
      <c r="B113" t="s">
        <v>50</v>
      </c>
      <c r="C113" t="s">
        <v>22</v>
      </c>
      <c r="D113" t="s">
        <v>3</v>
      </c>
      <c r="E113" t="s">
        <v>56</v>
      </c>
      <c r="F113">
        <v>1999</v>
      </c>
      <c r="G113">
        <f>F113*0.10</f>
        <v>0</v>
      </c>
    </row>
    <row r="114" spans="1:7">
      <c r="A114" s="2">
        <v>45668</v>
      </c>
      <c r="B114" t="s">
        <v>50</v>
      </c>
      <c r="C114" t="s">
        <v>23</v>
      </c>
      <c r="D114" t="s">
        <v>3</v>
      </c>
      <c r="E114" t="s">
        <v>55</v>
      </c>
      <c r="F114">
        <v>100</v>
      </c>
      <c r="G114">
        <f>F114*0.10</f>
        <v>0</v>
      </c>
    </row>
    <row r="115" spans="1:7">
      <c r="A115" s="2">
        <v>45668</v>
      </c>
      <c r="B115" t="s">
        <v>50</v>
      </c>
      <c r="C115" t="s">
        <v>6</v>
      </c>
      <c r="D115" t="s">
        <v>3</v>
      </c>
      <c r="E115" t="s">
        <v>55</v>
      </c>
      <c r="F115">
        <v>99</v>
      </c>
      <c r="G115">
        <f>F115*0.10</f>
        <v>0</v>
      </c>
    </row>
    <row r="116" spans="1:7">
      <c r="A116" s="2">
        <v>45668</v>
      </c>
      <c r="B116" t="s">
        <v>50</v>
      </c>
      <c r="C116" t="s">
        <v>25</v>
      </c>
      <c r="D116" t="s">
        <v>4</v>
      </c>
      <c r="E116" t="s">
        <v>54</v>
      </c>
      <c r="F116">
        <v>119</v>
      </c>
      <c r="G116">
        <f>F116*0.10</f>
        <v>0</v>
      </c>
    </row>
    <row r="117" spans="1:7">
      <c r="A117" s="2">
        <v>45668</v>
      </c>
      <c r="B117" t="s">
        <v>50</v>
      </c>
      <c r="C117" t="s">
        <v>8</v>
      </c>
      <c r="D117" t="s">
        <v>3</v>
      </c>
      <c r="E117" t="s">
        <v>56</v>
      </c>
      <c r="F117">
        <v>199</v>
      </c>
      <c r="G117">
        <f>F117*0.10</f>
        <v>0</v>
      </c>
    </row>
    <row r="118" spans="1:7">
      <c r="A118" s="2">
        <v>45668</v>
      </c>
      <c r="B118" t="s">
        <v>50</v>
      </c>
      <c r="C118" t="s">
        <v>23</v>
      </c>
      <c r="D118" t="s">
        <v>3</v>
      </c>
      <c r="E118" t="s">
        <v>56</v>
      </c>
      <c r="F118">
        <v>100</v>
      </c>
      <c r="G118">
        <f>F118*0.10</f>
        <v>0</v>
      </c>
    </row>
    <row r="119" spans="1:7">
      <c r="A119" s="2">
        <v>45668</v>
      </c>
      <c r="B119" t="s">
        <v>50</v>
      </c>
      <c r="C119" t="s">
        <v>7</v>
      </c>
      <c r="D119" t="s">
        <v>3</v>
      </c>
      <c r="E119" t="s">
        <v>55</v>
      </c>
      <c r="F119">
        <v>149</v>
      </c>
      <c r="G119">
        <f>F119*0.10</f>
        <v>0</v>
      </c>
    </row>
    <row r="120" spans="1:7">
      <c r="A120" s="2">
        <v>45668</v>
      </c>
      <c r="B120" t="s">
        <v>50</v>
      </c>
      <c r="C120" t="s">
        <v>6</v>
      </c>
      <c r="D120" t="s">
        <v>3</v>
      </c>
      <c r="E120" t="s">
        <v>56</v>
      </c>
      <c r="F120">
        <v>99</v>
      </c>
      <c r="G120">
        <f>F120*0.10</f>
        <v>0</v>
      </c>
    </row>
    <row r="121" spans="1:7">
      <c r="A121" s="2">
        <v>45668</v>
      </c>
      <c r="B121" t="s">
        <v>50</v>
      </c>
      <c r="C121" t="s">
        <v>6</v>
      </c>
      <c r="D121" t="s">
        <v>3</v>
      </c>
      <c r="E121" t="s">
        <v>55</v>
      </c>
      <c r="F121">
        <v>99</v>
      </c>
      <c r="G121">
        <f>F121*0.10</f>
        <v>0</v>
      </c>
    </row>
    <row r="122" spans="1:7">
      <c r="A122" s="2">
        <v>45668</v>
      </c>
      <c r="B122" t="s">
        <v>50</v>
      </c>
      <c r="C122" t="s">
        <v>13</v>
      </c>
      <c r="D122" t="s">
        <v>3</v>
      </c>
      <c r="E122" t="s">
        <v>55</v>
      </c>
      <c r="F122">
        <v>1499</v>
      </c>
      <c r="G122">
        <f>F122*0.10</f>
        <v>0</v>
      </c>
    </row>
    <row r="123" spans="1:7">
      <c r="A123" s="2">
        <v>45669</v>
      </c>
      <c r="B123" t="s">
        <v>51</v>
      </c>
      <c r="C123" t="s">
        <v>23</v>
      </c>
      <c r="D123" t="s">
        <v>3</v>
      </c>
      <c r="E123" t="s">
        <v>55</v>
      </c>
      <c r="F123">
        <v>100</v>
      </c>
      <c r="G123">
        <f>F123*0.10</f>
        <v>0</v>
      </c>
    </row>
    <row r="124" spans="1:7">
      <c r="A124" s="2">
        <v>45669</v>
      </c>
      <c r="B124" t="s">
        <v>51</v>
      </c>
      <c r="C124" t="s">
        <v>33</v>
      </c>
      <c r="D124" t="s">
        <v>4</v>
      </c>
      <c r="E124" t="s">
        <v>54</v>
      </c>
      <c r="F124">
        <v>399</v>
      </c>
      <c r="G124">
        <f>F124*0.10</f>
        <v>0</v>
      </c>
    </row>
    <row r="125" spans="1:7">
      <c r="A125" s="2">
        <v>45669</v>
      </c>
      <c r="B125" t="s">
        <v>51</v>
      </c>
      <c r="C125" t="s">
        <v>7</v>
      </c>
      <c r="D125" t="s">
        <v>3</v>
      </c>
      <c r="E125" t="s">
        <v>56</v>
      </c>
      <c r="F125">
        <v>149</v>
      </c>
      <c r="G125">
        <f>F125*0.10</f>
        <v>0</v>
      </c>
    </row>
    <row r="126" spans="1:7">
      <c r="A126" s="2">
        <v>45669</v>
      </c>
      <c r="B126" t="s">
        <v>51</v>
      </c>
      <c r="C126" t="s">
        <v>6</v>
      </c>
      <c r="D126" t="s">
        <v>3</v>
      </c>
      <c r="E126" t="s">
        <v>56</v>
      </c>
      <c r="F126">
        <v>99</v>
      </c>
      <c r="G126">
        <f>F126*0.10</f>
        <v>0</v>
      </c>
    </row>
    <row r="127" spans="1:7">
      <c r="A127" s="2">
        <v>45669</v>
      </c>
      <c r="B127" t="s">
        <v>51</v>
      </c>
      <c r="C127" t="s">
        <v>6</v>
      </c>
      <c r="D127" t="s">
        <v>3</v>
      </c>
      <c r="E127" t="s">
        <v>55</v>
      </c>
      <c r="F127">
        <v>99</v>
      </c>
      <c r="G127">
        <f>F127*0.10</f>
        <v>0</v>
      </c>
    </row>
    <row r="128" spans="1:7">
      <c r="A128" s="2">
        <v>45669</v>
      </c>
      <c r="B128" t="s">
        <v>51</v>
      </c>
      <c r="C128" t="s">
        <v>23</v>
      </c>
      <c r="D128" t="s">
        <v>3</v>
      </c>
      <c r="E128" t="s">
        <v>55</v>
      </c>
      <c r="F128">
        <v>100</v>
      </c>
      <c r="G128">
        <f>F128*0.10</f>
        <v>0</v>
      </c>
    </row>
    <row r="129" spans="1:7">
      <c r="A129" s="2">
        <v>45669</v>
      </c>
      <c r="B129" t="s">
        <v>51</v>
      </c>
      <c r="C129" t="s">
        <v>6</v>
      </c>
      <c r="D129" t="s">
        <v>3</v>
      </c>
      <c r="E129" t="s">
        <v>55</v>
      </c>
      <c r="F129">
        <v>99</v>
      </c>
      <c r="G129">
        <f>F129*0.10</f>
        <v>0</v>
      </c>
    </row>
    <row r="130" spans="1:7">
      <c r="A130" s="2">
        <v>45669</v>
      </c>
      <c r="B130" t="s">
        <v>51</v>
      </c>
      <c r="C130" t="s">
        <v>29</v>
      </c>
      <c r="D130" t="s">
        <v>4</v>
      </c>
      <c r="E130" t="s">
        <v>54</v>
      </c>
      <c r="F130">
        <v>299</v>
      </c>
      <c r="G130">
        <f>F130*0.10</f>
        <v>0</v>
      </c>
    </row>
    <row r="131" spans="1:7">
      <c r="A131" s="2">
        <v>45669</v>
      </c>
      <c r="B131" t="s">
        <v>51</v>
      </c>
      <c r="C131" t="s">
        <v>6</v>
      </c>
      <c r="D131" t="s">
        <v>3</v>
      </c>
      <c r="E131" t="s">
        <v>55</v>
      </c>
      <c r="F131">
        <v>99</v>
      </c>
      <c r="G131">
        <f>F131*0.10</f>
        <v>0</v>
      </c>
    </row>
    <row r="132" spans="1:7">
      <c r="A132" s="2">
        <v>45669</v>
      </c>
      <c r="B132" t="s">
        <v>51</v>
      </c>
      <c r="C132" t="s">
        <v>6</v>
      </c>
      <c r="D132" t="s">
        <v>3</v>
      </c>
      <c r="E132" t="s">
        <v>55</v>
      </c>
      <c r="F132">
        <v>99</v>
      </c>
      <c r="G132">
        <f>F132*0.10</f>
        <v>0</v>
      </c>
    </row>
    <row r="133" spans="1:7">
      <c r="A133" s="2">
        <v>45669</v>
      </c>
      <c r="B133" t="s">
        <v>51</v>
      </c>
      <c r="C133" t="s">
        <v>9</v>
      </c>
      <c r="D133" t="s">
        <v>3</v>
      </c>
      <c r="E133" t="s">
        <v>56</v>
      </c>
      <c r="F133">
        <v>349</v>
      </c>
      <c r="G133">
        <f>F133*0.10</f>
        <v>0</v>
      </c>
    </row>
    <row r="134" spans="1:7">
      <c r="A134" s="2">
        <v>45669</v>
      </c>
      <c r="B134" t="s">
        <v>51</v>
      </c>
      <c r="C134" t="s">
        <v>12</v>
      </c>
      <c r="D134" t="s">
        <v>3</v>
      </c>
      <c r="E134" t="s">
        <v>55</v>
      </c>
      <c r="F134">
        <v>699</v>
      </c>
      <c r="G134">
        <f>F134*0.10</f>
        <v>0</v>
      </c>
    </row>
    <row r="135" spans="1:7">
      <c r="A135" s="2">
        <v>45670</v>
      </c>
      <c r="B135" t="s">
        <v>52</v>
      </c>
      <c r="C135" t="s">
        <v>23</v>
      </c>
      <c r="D135" t="s">
        <v>3</v>
      </c>
      <c r="E135" t="s">
        <v>56</v>
      </c>
      <c r="F135">
        <v>100</v>
      </c>
      <c r="G135">
        <f>F135*0.10</f>
        <v>0</v>
      </c>
    </row>
    <row r="136" spans="1:7">
      <c r="A136" s="2">
        <v>45670</v>
      </c>
      <c r="B136" t="s">
        <v>52</v>
      </c>
      <c r="C136" t="s">
        <v>7</v>
      </c>
      <c r="D136" t="s">
        <v>3</v>
      </c>
      <c r="E136" t="s">
        <v>55</v>
      </c>
      <c r="F136">
        <v>149</v>
      </c>
      <c r="G136">
        <f>F136*0.10</f>
        <v>0</v>
      </c>
    </row>
    <row r="137" spans="1:7">
      <c r="A137" s="2">
        <v>45670</v>
      </c>
      <c r="B137" t="s">
        <v>52</v>
      </c>
      <c r="C137" t="s">
        <v>9</v>
      </c>
      <c r="D137" t="s">
        <v>3</v>
      </c>
      <c r="E137" t="s">
        <v>55</v>
      </c>
      <c r="F137">
        <v>349</v>
      </c>
      <c r="G137">
        <f>F137*0.10</f>
        <v>0</v>
      </c>
    </row>
    <row r="138" spans="1:7">
      <c r="A138" s="2">
        <v>45670</v>
      </c>
      <c r="B138" t="s">
        <v>52</v>
      </c>
      <c r="C138" t="s">
        <v>26</v>
      </c>
      <c r="D138" t="s">
        <v>4</v>
      </c>
      <c r="E138" t="s">
        <v>54</v>
      </c>
      <c r="F138">
        <v>149</v>
      </c>
      <c r="G138">
        <f>F138*0.10</f>
        <v>0</v>
      </c>
    </row>
    <row r="139" spans="1:7">
      <c r="A139" s="2">
        <v>45670</v>
      </c>
      <c r="B139" t="s">
        <v>52</v>
      </c>
      <c r="C139" t="s">
        <v>7</v>
      </c>
      <c r="D139" t="s">
        <v>3</v>
      </c>
      <c r="E139" t="s">
        <v>56</v>
      </c>
      <c r="F139">
        <v>149</v>
      </c>
      <c r="G139">
        <f>F139*0.10</f>
        <v>0</v>
      </c>
    </row>
    <row r="140" spans="1:7">
      <c r="A140" s="2">
        <v>45670</v>
      </c>
      <c r="B140" t="s">
        <v>52</v>
      </c>
      <c r="C140" t="s">
        <v>19</v>
      </c>
      <c r="D140" t="s">
        <v>3</v>
      </c>
      <c r="E140" t="s">
        <v>55</v>
      </c>
      <c r="F140">
        <v>1499</v>
      </c>
      <c r="G140">
        <f>F140*0.10</f>
        <v>0</v>
      </c>
    </row>
    <row r="141" spans="1:7">
      <c r="A141" s="2">
        <v>45670</v>
      </c>
      <c r="B141" t="s">
        <v>52</v>
      </c>
      <c r="C141" t="s">
        <v>8</v>
      </c>
      <c r="D141" t="s">
        <v>3</v>
      </c>
      <c r="E141" t="s">
        <v>55</v>
      </c>
      <c r="F141">
        <v>199</v>
      </c>
      <c r="G141">
        <f>F141*0.10</f>
        <v>0</v>
      </c>
    </row>
    <row r="142" spans="1:7">
      <c r="A142" s="2">
        <v>45670</v>
      </c>
      <c r="B142" t="s">
        <v>52</v>
      </c>
      <c r="C142" t="s">
        <v>8</v>
      </c>
      <c r="D142" t="s">
        <v>3</v>
      </c>
      <c r="E142" t="s">
        <v>56</v>
      </c>
      <c r="F142">
        <v>199</v>
      </c>
      <c r="G142">
        <f>F142*0.10</f>
        <v>0</v>
      </c>
    </row>
    <row r="143" spans="1:7">
      <c r="A143" s="2">
        <v>45670</v>
      </c>
      <c r="B143" t="s">
        <v>52</v>
      </c>
      <c r="C143" t="s">
        <v>7</v>
      </c>
      <c r="D143" t="s">
        <v>3</v>
      </c>
      <c r="E143" t="s">
        <v>56</v>
      </c>
      <c r="F143">
        <v>149</v>
      </c>
      <c r="G143">
        <f>F143*0.10</f>
        <v>0</v>
      </c>
    </row>
    <row r="144" spans="1:7">
      <c r="A144" s="2">
        <v>45670</v>
      </c>
      <c r="B144" t="s">
        <v>52</v>
      </c>
      <c r="C144" t="s">
        <v>10</v>
      </c>
      <c r="D144" t="s">
        <v>3</v>
      </c>
      <c r="E144" t="s">
        <v>56</v>
      </c>
      <c r="F144">
        <v>499</v>
      </c>
      <c r="G144">
        <f>F144*0.10</f>
        <v>0</v>
      </c>
    </row>
    <row r="145" spans="1:7">
      <c r="A145" s="2">
        <v>45671</v>
      </c>
      <c r="B145" t="s">
        <v>53</v>
      </c>
      <c r="C145" t="s">
        <v>6</v>
      </c>
      <c r="D145" t="s">
        <v>3</v>
      </c>
      <c r="E145" t="s">
        <v>55</v>
      </c>
      <c r="F145">
        <v>99</v>
      </c>
      <c r="G145">
        <f>F145*0.10</f>
        <v>0</v>
      </c>
    </row>
    <row r="146" spans="1:7">
      <c r="A146" s="2">
        <v>45671</v>
      </c>
      <c r="B146" t="s">
        <v>53</v>
      </c>
      <c r="C146" t="s">
        <v>34</v>
      </c>
      <c r="D146" t="s">
        <v>4</v>
      </c>
      <c r="E146" t="s">
        <v>54</v>
      </c>
      <c r="F146">
        <v>599</v>
      </c>
      <c r="G146">
        <f>F146*0.10</f>
        <v>0</v>
      </c>
    </row>
    <row r="147" spans="1:7">
      <c r="A147" s="2">
        <v>45671</v>
      </c>
      <c r="B147" t="s">
        <v>53</v>
      </c>
      <c r="C147" t="s">
        <v>8</v>
      </c>
      <c r="D147" t="s">
        <v>3</v>
      </c>
      <c r="E147" t="s">
        <v>56</v>
      </c>
      <c r="F147">
        <v>199</v>
      </c>
      <c r="G147">
        <f>F147*0.10</f>
        <v>0</v>
      </c>
    </row>
    <row r="148" spans="1:7">
      <c r="A148" s="2">
        <v>45671</v>
      </c>
      <c r="B148" t="s">
        <v>53</v>
      </c>
      <c r="C148" t="s">
        <v>6</v>
      </c>
      <c r="D148" t="s">
        <v>3</v>
      </c>
      <c r="E148" t="s">
        <v>56</v>
      </c>
      <c r="F148">
        <v>99</v>
      </c>
      <c r="G148">
        <f>F148*0.10</f>
        <v>0</v>
      </c>
    </row>
    <row r="149" spans="1:7">
      <c r="A149" s="2">
        <v>45671</v>
      </c>
      <c r="B149" t="s">
        <v>53</v>
      </c>
      <c r="C149" t="s">
        <v>30</v>
      </c>
      <c r="D149" t="s">
        <v>4</v>
      </c>
      <c r="E149" t="s">
        <v>54</v>
      </c>
      <c r="F149">
        <v>399</v>
      </c>
      <c r="G149">
        <f>F149*0.10</f>
        <v>0</v>
      </c>
    </row>
    <row r="150" spans="1:7">
      <c r="A150" s="2">
        <v>45671</v>
      </c>
      <c r="B150" t="s">
        <v>53</v>
      </c>
      <c r="C150" t="s">
        <v>25</v>
      </c>
      <c r="D150" t="s">
        <v>4</v>
      </c>
      <c r="E150" t="s">
        <v>54</v>
      </c>
      <c r="F150">
        <v>119</v>
      </c>
      <c r="G150">
        <f>F150*0.10</f>
        <v>0</v>
      </c>
    </row>
    <row r="151" spans="1:7">
      <c r="A151" s="2">
        <v>45671</v>
      </c>
      <c r="B151" t="s">
        <v>53</v>
      </c>
      <c r="C151" t="s">
        <v>6</v>
      </c>
      <c r="D151" t="s">
        <v>3</v>
      </c>
      <c r="E151" t="s">
        <v>56</v>
      </c>
      <c r="F151">
        <v>99</v>
      </c>
      <c r="G151">
        <f>F151*0.10</f>
        <v>0</v>
      </c>
    </row>
    <row r="152" spans="1:7">
      <c r="A152" s="2">
        <v>45671</v>
      </c>
      <c r="B152" t="s">
        <v>53</v>
      </c>
      <c r="C152" t="s">
        <v>23</v>
      </c>
      <c r="D152" t="s">
        <v>3</v>
      </c>
      <c r="E152" t="s">
        <v>56</v>
      </c>
      <c r="F152">
        <v>100</v>
      </c>
      <c r="G152">
        <f>F152*0.10</f>
        <v>0</v>
      </c>
    </row>
    <row r="153" spans="1:7">
      <c r="A153" s="2">
        <v>45671</v>
      </c>
      <c r="B153" t="s">
        <v>53</v>
      </c>
      <c r="C153" t="s">
        <v>6</v>
      </c>
      <c r="D153" t="s">
        <v>3</v>
      </c>
      <c r="E153" t="s">
        <v>55</v>
      </c>
      <c r="F153">
        <v>99</v>
      </c>
      <c r="G153">
        <f>F153*0.10</f>
        <v>0</v>
      </c>
    </row>
    <row r="154" spans="1:7">
      <c r="A154" s="2">
        <v>45671</v>
      </c>
      <c r="B154" t="s">
        <v>53</v>
      </c>
      <c r="C154" t="s">
        <v>25</v>
      </c>
      <c r="D154" t="s">
        <v>4</v>
      </c>
      <c r="E154" t="s">
        <v>54</v>
      </c>
      <c r="F154">
        <v>119</v>
      </c>
      <c r="G154">
        <f>F154*0.10</f>
        <v>0</v>
      </c>
    </row>
    <row r="155" spans="1:7">
      <c r="A155" s="2">
        <v>45671</v>
      </c>
      <c r="B155" t="s">
        <v>53</v>
      </c>
      <c r="C155" t="s">
        <v>31</v>
      </c>
      <c r="D155" t="s">
        <v>4</v>
      </c>
      <c r="E155" t="s">
        <v>54</v>
      </c>
      <c r="F155">
        <v>349</v>
      </c>
      <c r="G155">
        <f>F155*0.10</f>
        <v>0</v>
      </c>
    </row>
    <row r="156" spans="1:7">
      <c r="A156" s="2">
        <v>45671</v>
      </c>
      <c r="B156" t="s">
        <v>53</v>
      </c>
      <c r="C156" t="s">
        <v>7</v>
      </c>
      <c r="D156" t="s">
        <v>3</v>
      </c>
      <c r="E156" t="s">
        <v>56</v>
      </c>
      <c r="F156">
        <v>149</v>
      </c>
      <c r="G156">
        <f>F156*0.10</f>
        <v>0</v>
      </c>
    </row>
    <row r="157" spans="1:7">
      <c r="A157" s="2">
        <v>45671</v>
      </c>
      <c r="B157" t="s">
        <v>53</v>
      </c>
      <c r="C157" t="s">
        <v>12</v>
      </c>
      <c r="D157" t="s">
        <v>3</v>
      </c>
      <c r="E157" t="s">
        <v>55</v>
      </c>
      <c r="F157">
        <v>699</v>
      </c>
      <c r="G157">
        <f>F157*0.10</f>
        <v>0</v>
      </c>
    </row>
    <row r="158" spans="1:7">
      <c r="A158" s="2">
        <v>45671</v>
      </c>
      <c r="B158" t="s">
        <v>53</v>
      </c>
      <c r="C158" t="s">
        <v>26</v>
      </c>
      <c r="D158" t="s">
        <v>4</v>
      </c>
      <c r="E158" t="s">
        <v>54</v>
      </c>
      <c r="F158">
        <v>149</v>
      </c>
      <c r="G158">
        <f>F158*0.10</f>
        <v>0</v>
      </c>
    </row>
    <row r="159" spans="1:7">
      <c r="A159" s="2">
        <v>45671</v>
      </c>
      <c r="B159" t="s">
        <v>53</v>
      </c>
      <c r="C159" t="s">
        <v>23</v>
      </c>
      <c r="D159" t="s">
        <v>3</v>
      </c>
      <c r="E159" t="s">
        <v>55</v>
      </c>
      <c r="F159">
        <v>100</v>
      </c>
      <c r="G159">
        <f>F159*0.10</f>
        <v>0</v>
      </c>
    </row>
    <row r="160" spans="1:7">
      <c r="A160" s="2">
        <v>45672</v>
      </c>
      <c r="B160" t="s">
        <v>47</v>
      </c>
      <c r="C160" t="s">
        <v>23</v>
      </c>
      <c r="D160" t="s">
        <v>3</v>
      </c>
      <c r="E160" t="s">
        <v>55</v>
      </c>
      <c r="F160">
        <v>100</v>
      </c>
      <c r="G160">
        <f>F160*0.10</f>
        <v>0</v>
      </c>
    </row>
    <row r="161" spans="1:7">
      <c r="A161" s="2">
        <v>45672</v>
      </c>
      <c r="B161" t="s">
        <v>47</v>
      </c>
      <c r="C161" t="s">
        <v>26</v>
      </c>
      <c r="D161" t="s">
        <v>4</v>
      </c>
      <c r="E161" t="s">
        <v>54</v>
      </c>
      <c r="F161">
        <v>149</v>
      </c>
      <c r="G161">
        <f>F161*0.10</f>
        <v>0</v>
      </c>
    </row>
    <row r="162" spans="1:7">
      <c r="A162" s="2">
        <v>45672</v>
      </c>
      <c r="B162" t="s">
        <v>47</v>
      </c>
      <c r="C162" t="s">
        <v>25</v>
      </c>
      <c r="D162" t="s">
        <v>4</v>
      </c>
      <c r="E162" t="s">
        <v>54</v>
      </c>
      <c r="F162">
        <v>119</v>
      </c>
      <c r="G162">
        <f>F162*0.10</f>
        <v>0</v>
      </c>
    </row>
    <row r="163" spans="1:7">
      <c r="A163" s="2">
        <v>45672</v>
      </c>
      <c r="B163" t="s">
        <v>47</v>
      </c>
      <c r="C163" t="s">
        <v>20</v>
      </c>
      <c r="D163" t="s">
        <v>3</v>
      </c>
      <c r="E163" t="s">
        <v>55</v>
      </c>
      <c r="F163">
        <v>1499</v>
      </c>
      <c r="G163">
        <f>F163*0.10</f>
        <v>0</v>
      </c>
    </row>
    <row r="164" spans="1:7">
      <c r="A164" s="2">
        <v>45672</v>
      </c>
      <c r="B164" t="s">
        <v>47</v>
      </c>
      <c r="C164" t="s">
        <v>25</v>
      </c>
      <c r="D164" t="s">
        <v>4</v>
      </c>
      <c r="E164" t="s">
        <v>54</v>
      </c>
      <c r="F164">
        <v>119</v>
      </c>
      <c r="G164">
        <f>F164*0.10</f>
        <v>0</v>
      </c>
    </row>
    <row r="165" spans="1:7">
      <c r="A165" s="2">
        <v>45672</v>
      </c>
      <c r="B165" t="s">
        <v>47</v>
      </c>
      <c r="C165" t="s">
        <v>6</v>
      </c>
      <c r="D165" t="s">
        <v>3</v>
      </c>
      <c r="E165" t="s">
        <v>55</v>
      </c>
      <c r="F165">
        <v>99</v>
      </c>
      <c r="G165">
        <f>F165*0.10</f>
        <v>0</v>
      </c>
    </row>
    <row r="166" spans="1:7">
      <c r="A166" s="2">
        <v>45672</v>
      </c>
      <c r="B166" t="s">
        <v>47</v>
      </c>
      <c r="C166" t="s">
        <v>23</v>
      </c>
      <c r="D166" t="s">
        <v>3</v>
      </c>
      <c r="E166" t="s">
        <v>55</v>
      </c>
      <c r="F166">
        <v>100</v>
      </c>
      <c r="G166">
        <f>F166*0.10</f>
        <v>0</v>
      </c>
    </row>
    <row r="167" spans="1:7">
      <c r="A167" s="2">
        <v>45672</v>
      </c>
      <c r="B167" t="s">
        <v>47</v>
      </c>
      <c r="C167" t="s">
        <v>6</v>
      </c>
      <c r="D167" t="s">
        <v>3</v>
      </c>
      <c r="E167" t="s">
        <v>55</v>
      </c>
      <c r="F167">
        <v>99</v>
      </c>
      <c r="G167">
        <f>F167*0.10</f>
        <v>0</v>
      </c>
    </row>
    <row r="168" spans="1:7">
      <c r="A168" s="2">
        <v>45672</v>
      </c>
      <c r="B168" t="s">
        <v>47</v>
      </c>
      <c r="C168" t="s">
        <v>28</v>
      </c>
      <c r="D168" t="s">
        <v>4</v>
      </c>
      <c r="E168" t="s">
        <v>54</v>
      </c>
      <c r="F168">
        <v>499</v>
      </c>
      <c r="G168">
        <f>F168*0.10</f>
        <v>0</v>
      </c>
    </row>
    <row r="169" spans="1:7">
      <c r="A169" s="2">
        <v>45673</v>
      </c>
      <c r="B169" t="s">
        <v>48</v>
      </c>
      <c r="C169" t="s">
        <v>8</v>
      </c>
      <c r="D169" t="s">
        <v>3</v>
      </c>
      <c r="E169" t="s">
        <v>56</v>
      </c>
      <c r="F169">
        <v>199</v>
      </c>
      <c r="G169">
        <f>F169*0.10</f>
        <v>0</v>
      </c>
    </row>
    <row r="170" spans="1:7">
      <c r="A170" s="2">
        <v>45673</v>
      </c>
      <c r="B170" t="s">
        <v>48</v>
      </c>
      <c r="C170" t="s">
        <v>8</v>
      </c>
      <c r="D170" t="s">
        <v>3</v>
      </c>
      <c r="E170" t="s">
        <v>55</v>
      </c>
      <c r="F170">
        <v>199</v>
      </c>
      <c r="G170">
        <f>F170*0.10</f>
        <v>0</v>
      </c>
    </row>
    <row r="171" spans="1:7">
      <c r="A171" s="2">
        <v>45673</v>
      </c>
      <c r="B171" t="s">
        <v>48</v>
      </c>
      <c r="C171" t="s">
        <v>7</v>
      </c>
      <c r="D171" t="s">
        <v>3</v>
      </c>
      <c r="E171" t="s">
        <v>55</v>
      </c>
      <c r="F171">
        <v>149</v>
      </c>
      <c r="G171">
        <f>F171*0.10</f>
        <v>0</v>
      </c>
    </row>
    <row r="172" spans="1:7">
      <c r="A172" s="2">
        <v>45673</v>
      </c>
      <c r="B172" t="s">
        <v>48</v>
      </c>
      <c r="C172" t="s">
        <v>12</v>
      </c>
      <c r="D172" t="s">
        <v>3</v>
      </c>
      <c r="E172" t="s">
        <v>55</v>
      </c>
      <c r="F172">
        <v>699</v>
      </c>
      <c r="G172">
        <f>F172*0.10</f>
        <v>0</v>
      </c>
    </row>
    <row r="173" spans="1:7">
      <c r="A173" s="2">
        <v>45673</v>
      </c>
      <c r="B173" t="s">
        <v>48</v>
      </c>
      <c r="C173" t="s">
        <v>6</v>
      </c>
      <c r="D173" t="s">
        <v>3</v>
      </c>
      <c r="E173" t="s">
        <v>55</v>
      </c>
      <c r="F173">
        <v>99</v>
      </c>
      <c r="G173">
        <f>F173*0.10</f>
        <v>0</v>
      </c>
    </row>
    <row r="174" spans="1:7">
      <c r="A174" s="2">
        <v>45673</v>
      </c>
      <c r="B174" t="s">
        <v>48</v>
      </c>
      <c r="C174" t="s">
        <v>25</v>
      </c>
      <c r="D174" t="s">
        <v>4</v>
      </c>
      <c r="E174" t="s">
        <v>54</v>
      </c>
      <c r="F174">
        <v>119</v>
      </c>
      <c r="G174">
        <f>F174*0.10</f>
        <v>0</v>
      </c>
    </row>
    <row r="175" spans="1:7">
      <c r="A175" s="2">
        <v>45673</v>
      </c>
      <c r="B175" t="s">
        <v>48</v>
      </c>
      <c r="C175" t="s">
        <v>19</v>
      </c>
      <c r="D175" t="s">
        <v>3</v>
      </c>
      <c r="E175" t="s">
        <v>56</v>
      </c>
      <c r="F175">
        <v>1499</v>
      </c>
      <c r="G175">
        <f>F175*0.10</f>
        <v>0</v>
      </c>
    </row>
    <row r="176" spans="1:7">
      <c r="A176" s="2">
        <v>45673</v>
      </c>
      <c r="B176" t="s">
        <v>48</v>
      </c>
      <c r="C176" t="s">
        <v>30</v>
      </c>
      <c r="D176" t="s">
        <v>4</v>
      </c>
      <c r="E176" t="s">
        <v>54</v>
      </c>
      <c r="F176">
        <v>399</v>
      </c>
      <c r="G176">
        <f>F176*0.10</f>
        <v>0</v>
      </c>
    </row>
    <row r="177" spans="1:7">
      <c r="A177" s="2">
        <v>45673</v>
      </c>
      <c r="B177" t="s">
        <v>48</v>
      </c>
      <c r="C177" t="s">
        <v>6</v>
      </c>
      <c r="D177" t="s">
        <v>3</v>
      </c>
      <c r="E177" t="s">
        <v>55</v>
      </c>
      <c r="F177">
        <v>99</v>
      </c>
      <c r="G177">
        <f>F177*0.10</f>
        <v>0</v>
      </c>
    </row>
    <row r="178" spans="1:7">
      <c r="A178" s="2">
        <v>45673</v>
      </c>
      <c r="B178" t="s">
        <v>48</v>
      </c>
      <c r="C178" t="s">
        <v>16</v>
      </c>
      <c r="D178" t="s">
        <v>3</v>
      </c>
      <c r="E178" t="s">
        <v>55</v>
      </c>
      <c r="F178">
        <v>3199</v>
      </c>
      <c r="G178">
        <f>F178*0.10</f>
        <v>0</v>
      </c>
    </row>
    <row r="179" spans="1:7">
      <c r="A179" s="2">
        <v>45673</v>
      </c>
      <c r="B179" t="s">
        <v>48</v>
      </c>
      <c r="C179" t="s">
        <v>23</v>
      </c>
      <c r="D179" t="s">
        <v>3</v>
      </c>
      <c r="E179" t="s">
        <v>56</v>
      </c>
      <c r="F179">
        <v>100</v>
      </c>
      <c r="G179">
        <f>F179*0.10</f>
        <v>0</v>
      </c>
    </row>
    <row r="180" spans="1:7">
      <c r="A180" s="2">
        <v>45674</v>
      </c>
      <c r="B180" t="s">
        <v>49</v>
      </c>
      <c r="C180" t="s">
        <v>7</v>
      </c>
      <c r="D180" t="s">
        <v>3</v>
      </c>
      <c r="E180" t="s">
        <v>55</v>
      </c>
      <c r="F180">
        <v>149</v>
      </c>
      <c r="G180">
        <f>F180*0.10</f>
        <v>0</v>
      </c>
    </row>
    <row r="181" spans="1:7">
      <c r="A181" s="2">
        <v>45674</v>
      </c>
      <c r="B181" t="s">
        <v>49</v>
      </c>
      <c r="C181" t="s">
        <v>27</v>
      </c>
      <c r="D181" t="s">
        <v>4</v>
      </c>
      <c r="E181" t="s">
        <v>54</v>
      </c>
      <c r="F181">
        <v>269</v>
      </c>
      <c r="G181">
        <f>F181*0.10</f>
        <v>0</v>
      </c>
    </row>
    <row r="182" spans="1:7">
      <c r="A182" s="2">
        <v>45674</v>
      </c>
      <c r="B182" t="s">
        <v>49</v>
      </c>
      <c r="C182" t="s">
        <v>32</v>
      </c>
      <c r="D182" t="s">
        <v>4</v>
      </c>
      <c r="E182" t="s">
        <v>54</v>
      </c>
      <c r="F182">
        <v>399</v>
      </c>
      <c r="G182">
        <f>F182*0.10</f>
        <v>0</v>
      </c>
    </row>
    <row r="183" spans="1:7">
      <c r="A183" s="2">
        <v>45674</v>
      </c>
      <c r="B183" t="s">
        <v>49</v>
      </c>
      <c r="C183" t="s">
        <v>11</v>
      </c>
      <c r="D183" t="s">
        <v>3</v>
      </c>
      <c r="E183" t="s">
        <v>55</v>
      </c>
      <c r="F183">
        <v>499</v>
      </c>
      <c r="G183">
        <f>F183*0.10</f>
        <v>0</v>
      </c>
    </row>
    <row r="184" spans="1:7">
      <c r="A184" s="2">
        <v>45674</v>
      </c>
      <c r="B184" t="s">
        <v>49</v>
      </c>
      <c r="C184" t="s">
        <v>34</v>
      </c>
      <c r="D184" t="s">
        <v>4</v>
      </c>
      <c r="E184" t="s">
        <v>54</v>
      </c>
      <c r="F184">
        <v>599</v>
      </c>
      <c r="G184">
        <f>F184*0.10</f>
        <v>0</v>
      </c>
    </row>
    <row r="185" spans="1:7">
      <c r="A185" s="2">
        <v>45674</v>
      </c>
      <c r="B185" t="s">
        <v>49</v>
      </c>
      <c r="C185" t="s">
        <v>6</v>
      </c>
      <c r="D185" t="s">
        <v>3</v>
      </c>
      <c r="E185" t="s">
        <v>55</v>
      </c>
      <c r="F185">
        <v>99</v>
      </c>
      <c r="G185">
        <f>F185*0.10</f>
        <v>0</v>
      </c>
    </row>
    <row r="186" spans="1:7">
      <c r="A186" s="2">
        <v>45674</v>
      </c>
      <c r="B186" t="s">
        <v>49</v>
      </c>
      <c r="C186" t="s">
        <v>23</v>
      </c>
      <c r="D186" t="s">
        <v>3</v>
      </c>
      <c r="E186" t="s">
        <v>56</v>
      </c>
      <c r="F186">
        <v>100</v>
      </c>
      <c r="G186">
        <f>F186*0.10</f>
        <v>0</v>
      </c>
    </row>
    <row r="187" spans="1:7">
      <c r="A187" s="2">
        <v>45674</v>
      </c>
      <c r="B187" t="s">
        <v>49</v>
      </c>
      <c r="C187" t="s">
        <v>29</v>
      </c>
      <c r="D187" t="s">
        <v>4</v>
      </c>
      <c r="E187" t="s">
        <v>54</v>
      </c>
      <c r="F187">
        <v>299</v>
      </c>
      <c r="G187">
        <f>F187*0.10</f>
        <v>0</v>
      </c>
    </row>
    <row r="188" spans="1:7">
      <c r="A188" s="2">
        <v>45674</v>
      </c>
      <c r="B188" t="s">
        <v>49</v>
      </c>
      <c r="C188" t="s">
        <v>33</v>
      </c>
      <c r="D188" t="s">
        <v>4</v>
      </c>
      <c r="E188" t="s">
        <v>54</v>
      </c>
      <c r="F188">
        <v>399</v>
      </c>
      <c r="G188">
        <f>F188*0.10</f>
        <v>0</v>
      </c>
    </row>
    <row r="189" spans="1:7">
      <c r="A189" s="2">
        <v>45675</v>
      </c>
      <c r="B189" t="s">
        <v>50</v>
      </c>
      <c r="C189" t="s">
        <v>23</v>
      </c>
      <c r="D189" t="s">
        <v>3</v>
      </c>
      <c r="E189" t="s">
        <v>56</v>
      </c>
      <c r="F189">
        <v>100</v>
      </c>
      <c r="G189">
        <f>F189*0.10</f>
        <v>0</v>
      </c>
    </row>
    <row r="190" spans="1:7">
      <c r="A190" s="2">
        <v>45675</v>
      </c>
      <c r="B190" t="s">
        <v>50</v>
      </c>
      <c r="C190" t="s">
        <v>8</v>
      </c>
      <c r="D190" t="s">
        <v>3</v>
      </c>
      <c r="E190" t="s">
        <v>56</v>
      </c>
      <c r="F190">
        <v>199</v>
      </c>
      <c r="G190">
        <f>F190*0.10</f>
        <v>0</v>
      </c>
    </row>
    <row r="191" spans="1:7">
      <c r="A191" s="2">
        <v>45675</v>
      </c>
      <c r="B191" t="s">
        <v>50</v>
      </c>
      <c r="C191" t="s">
        <v>23</v>
      </c>
      <c r="D191" t="s">
        <v>3</v>
      </c>
      <c r="E191" t="s">
        <v>55</v>
      </c>
      <c r="F191">
        <v>100</v>
      </c>
      <c r="G191">
        <f>F191*0.10</f>
        <v>0</v>
      </c>
    </row>
    <row r="192" spans="1:7">
      <c r="A192" s="2">
        <v>45675</v>
      </c>
      <c r="B192" t="s">
        <v>50</v>
      </c>
      <c r="C192" t="s">
        <v>23</v>
      </c>
      <c r="D192" t="s">
        <v>3</v>
      </c>
      <c r="E192" t="s">
        <v>56</v>
      </c>
      <c r="F192">
        <v>100</v>
      </c>
      <c r="G192">
        <f>F192*0.10</f>
        <v>0</v>
      </c>
    </row>
    <row r="193" spans="1:7">
      <c r="A193" s="2">
        <v>45675</v>
      </c>
      <c r="B193" t="s">
        <v>50</v>
      </c>
      <c r="C193" t="s">
        <v>9</v>
      </c>
      <c r="D193" t="s">
        <v>3</v>
      </c>
      <c r="E193" t="s">
        <v>56</v>
      </c>
      <c r="F193">
        <v>349</v>
      </c>
      <c r="G193">
        <f>F193*0.10</f>
        <v>0</v>
      </c>
    </row>
    <row r="194" spans="1:7">
      <c r="A194" s="2">
        <v>45675</v>
      </c>
      <c r="B194" t="s">
        <v>50</v>
      </c>
      <c r="C194" t="s">
        <v>7</v>
      </c>
      <c r="D194" t="s">
        <v>3</v>
      </c>
      <c r="E194" t="s">
        <v>55</v>
      </c>
      <c r="F194">
        <v>149</v>
      </c>
      <c r="G194">
        <f>F194*0.10</f>
        <v>0</v>
      </c>
    </row>
    <row r="195" spans="1:7">
      <c r="A195" s="2">
        <v>45675</v>
      </c>
      <c r="B195" t="s">
        <v>50</v>
      </c>
      <c r="C195" t="s">
        <v>31</v>
      </c>
      <c r="D195" t="s">
        <v>4</v>
      </c>
      <c r="E195" t="s">
        <v>54</v>
      </c>
      <c r="F195">
        <v>349</v>
      </c>
      <c r="G195">
        <f>F195*0.10</f>
        <v>0</v>
      </c>
    </row>
    <row r="196" spans="1:7">
      <c r="A196" s="2">
        <v>45675</v>
      </c>
      <c r="B196" t="s">
        <v>50</v>
      </c>
      <c r="C196" t="s">
        <v>7</v>
      </c>
      <c r="D196" t="s">
        <v>3</v>
      </c>
      <c r="E196" t="s">
        <v>55</v>
      </c>
      <c r="F196">
        <v>149</v>
      </c>
      <c r="G196">
        <f>F196*0.10</f>
        <v>0</v>
      </c>
    </row>
    <row r="197" spans="1:7">
      <c r="A197" s="2">
        <v>45675</v>
      </c>
      <c r="B197" t="s">
        <v>50</v>
      </c>
      <c r="C197" t="s">
        <v>7</v>
      </c>
      <c r="D197" t="s">
        <v>3</v>
      </c>
      <c r="E197" t="s">
        <v>55</v>
      </c>
      <c r="F197">
        <v>149</v>
      </c>
      <c r="G197">
        <f>F197*0.10</f>
        <v>0</v>
      </c>
    </row>
    <row r="198" spans="1:7">
      <c r="A198" s="2">
        <v>45675</v>
      </c>
      <c r="B198" t="s">
        <v>50</v>
      </c>
      <c r="C198" t="s">
        <v>31</v>
      </c>
      <c r="D198" t="s">
        <v>4</v>
      </c>
      <c r="E198" t="s">
        <v>54</v>
      </c>
      <c r="F198">
        <v>349</v>
      </c>
      <c r="G198">
        <f>F198*0.10</f>
        <v>0</v>
      </c>
    </row>
    <row r="199" spans="1:7">
      <c r="A199" s="2">
        <v>45675</v>
      </c>
      <c r="B199" t="s">
        <v>50</v>
      </c>
      <c r="C199" t="s">
        <v>29</v>
      </c>
      <c r="D199" t="s">
        <v>4</v>
      </c>
      <c r="E199" t="s">
        <v>54</v>
      </c>
      <c r="F199">
        <v>299</v>
      </c>
      <c r="G199">
        <f>F199*0.10</f>
        <v>0</v>
      </c>
    </row>
    <row r="200" spans="1:7">
      <c r="A200" s="2">
        <v>45675</v>
      </c>
      <c r="B200" t="s">
        <v>50</v>
      </c>
      <c r="C200" t="s">
        <v>9</v>
      </c>
      <c r="D200" t="s">
        <v>3</v>
      </c>
      <c r="E200" t="s">
        <v>56</v>
      </c>
      <c r="F200">
        <v>349</v>
      </c>
      <c r="G200">
        <f>F200*0.10</f>
        <v>0</v>
      </c>
    </row>
    <row r="201" spans="1:7">
      <c r="A201" s="2">
        <v>45676</v>
      </c>
      <c r="B201" t="s">
        <v>51</v>
      </c>
      <c r="C201" t="s">
        <v>6</v>
      </c>
      <c r="D201" t="s">
        <v>3</v>
      </c>
      <c r="E201" t="s">
        <v>55</v>
      </c>
      <c r="F201">
        <v>99</v>
      </c>
      <c r="G201">
        <f>F201*0.10</f>
        <v>0</v>
      </c>
    </row>
    <row r="202" spans="1:7">
      <c r="A202" s="2">
        <v>45676</v>
      </c>
      <c r="B202" t="s">
        <v>51</v>
      </c>
      <c r="C202" t="s">
        <v>7</v>
      </c>
      <c r="D202" t="s">
        <v>3</v>
      </c>
      <c r="E202" t="s">
        <v>56</v>
      </c>
      <c r="F202">
        <v>149</v>
      </c>
      <c r="G202">
        <f>F202*0.10</f>
        <v>0</v>
      </c>
    </row>
    <row r="203" spans="1:7">
      <c r="A203" s="2">
        <v>45676</v>
      </c>
      <c r="B203" t="s">
        <v>51</v>
      </c>
      <c r="C203" t="s">
        <v>8</v>
      </c>
      <c r="D203" t="s">
        <v>3</v>
      </c>
      <c r="E203" t="s">
        <v>56</v>
      </c>
      <c r="F203">
        <v>199</v>
      </c>
      <c r="G203">
        <f>F203*0.10</f>
        <v>0</v>
      </c>
    </row>
    <row r="204" spans="1:7">
      <c r="A204" s="2">
        <v>45676</v>
      </c>
      <c r="B204" t="s">
        <v>51</v>
      </c>
      <c r="C204" t="s">
        <v>23</v>
      </c>
      <c r="D204" t="s">
        <v>3</v>
      </c>
      <c r="E204" t="s">
        <v>55</v>
      </c>
      <c r="F204">
        <v>100</v>
      </c>
      <c r="G204">
        <f>F204*0.10</f>
        <v>0</v>
      </c>
    </row>
    <row r="205" spans="1:7">
      <c r="A205" s="2">
        <v>45676</v>
      </c>
      <c r="B205" t="s">
        <v>51</v>
      </c>
      <c r="C205" t="s">
        <v>23</v>
      </c>
      <c r="D205" t="s">
        <v>3</v>
      </c>
      <c r="E205" t="s">
        <v>55</v>
      </c>
      <c r="F205">
        <v>100</v>
      </c>
      <c r="G205">
        <f>F205*0.10</f>
        <v>0</v>
      </c>
    </row>
    <row r="206" spans="1:7">
      <c r="A206" s="2">
        <v>45676</v>
      </c>
      <c r="B206" t="s">
        <v>51</v>
      </c>
      <c r="C206" t="s">
        <v>23</v>
      </c>
      <c r="D206" t="s">
        <v>3</v>
      </c>
      <c r="E206" t="s">
        <v>55</v>
      </c>
      <c r="F206">
        <v>100</v>
      </c>
      <c r="G206">
        <f>F206*0.10</f>
        <v>0</v>
      </c>
    </row>
    <row r="207" spans="1:7">
      <c r="A207" s="2">
        <v>45676</v>
      </c>
      <c r="B207" t="s">
        <v>51</v>
      </c>
      <c r="C207" t="s">
        <v>11</v>
      </c>
      <c r="D207" t="s">
        <v>3</v>
      </c>
      <c r="E207" t="s">
        <v>55</v>
      </c>
      <c r="F207">
        <v>499</v>
      </c>
      <c r="G207">
        <f>F207*0.10</f>
        <v>0</v>
      </c>
    </row>
    <row r="208" spans="1:7">
      <c r="A208" s="2">
        <v>45676</v>
      </c>
      <c r="B208" t="s">
        <v>51</v>
      </c>
      <c r="C208" t="s">
        <v>23</v>
      </c>
      <c r="D208" t="s">
        <v>3</v>
      </c>
      <c r="E208" t="s">
        <v>56</v>
      </c>
      <c r="F208">
        <v>100</v>
      </c>
      <c r="G208">
        <f>F208*0.10</f>
        <v>0</v>
      </c>
    </row>
    <row r="209" spans="1:7">
      <c r="A209" s="2">
        <v>45677</v>
      </c>
      <c r="B209" t="s">
        <v>52</v>
      </c>
      <c r="C209" t="s">
        <v>26</v>
      </c>
      <c r="D209" t="s">
        <v>4</v>
      </c>
      <c r="E209" t="s">
        <v>54</v>
      </c>
      <c r="F209">
        <v>149</v>
      </c>
      <c r="G209">
        <f>F209*0.10</f>
        <v>0</v>
      </c>
    </row>
    <row r="210" spans="1:7">
      <c r="A210" s="2">
        <v>45677</v>
      </c>
      <c r="B210" t="s">
        <v>52</v>
      </c>
      <c r="C210" t="s">
        <v>23</v>
      </c>
      <c r="D210" t="s">
        <v>3</v>
      </c>
      <c r="E210" t="s">
        <v>55</v>
      </c>
      <c r="F210">
        <v>100</v>
      </c>
      <c r="G210">
        <f>F210*0.10</f>
        <v>0</v>
      </c>
    </row>
    <row r="211" spans="1:7">
      <c r="A211" s="2">
        <v>45677</v>
      </c>
      <c r="B211" t="s">
        <v>52</v>
      </c>
      <c r="C211" t="s">
        <v>23</v>
      </c>
      <c r="D211" t="s">
        <v>3</v>
      </c>
      <c r="E211" t="s">
        <v>55</v>
      </c>
      <c r="F211">
        <v>100</v>
      </c>
      <c r="G211">
        <f>F211*0.10</f>
        <v>0</v>
      </c>
    </row>
    <row r="212" spans="1:7">
      <c r="A212" s="2">
        <v>45677</v>
      </c>
      <c r="B212" t="s">
        <v>52</v>
      </c>
      <c r="C212" t="s">
        <v>6</v>
      </c>
      <c r="D212" t="s">
        <v>3</v>
      </c>
      <c r="E212" t="s">
        <v>55</v>
      </c>
      <c r="F212">
        <v>99</v>
      </c>
      <c r="G212">
        <f>F212*0.10</f>
        <v>0</v>
      </c>
    </row>
    <row r="213" spans="1:7">
      <c r="A213" s="2">
        <v>45677</v>
      </c>
      <c r="B213" t="s">
        <v>52</v>
      </c>
      <c r="C213" t="s">
        <v>9</v>
      </c>
      <c r="D213" t="s">
        <v>3</v>
      </c>
      <c r="E213" t="s">
        <v>56</v>
      </c>
      <c r="F213">
        <v>349</v>
      </c>
      <c r="G213">
        <f>F213*0.10</f>
        <v>0</v>
      </c>
    </row>
    <row r="214" spans="1:7">
      <c r="A214" s="2">
        <v>45677</v>
      </c>
      <c r="B214" t="s">
        <v>52</v>
      </c>
      <c r="C214" t="s">
        <v>7</v>
      </c>
      <c r="D214" t="s">
        <v>3</v>
      </c>
      <c r="E214" t="s">
        <v>56</v>
      </c>
      <c r="F214">
        <v>149</v>
      </c>
      <c r="G214">
        <f>F214*0.10</f>
        <v>0</v>
      </c>
    </row>
    <row r="215" spans="1:7">
      <c r="A215" s="2">
        <v>45677</v>
      </c>
      <c r="B215" t="s">
        <v>52</v>
      </c>
      <c r="C215" t="s">
        <v>7</v>
      </c>
      <c r="D215" t="s">
        <v>3</v>
      </c>
      <c r="E215" t="s">
        <v>55</v>
      </c>
      <c r="F215">
        <v>149</v>
      </c>
      <c r="G215">
        <f>F215*0.10</f>
        <v>0</v>
      </c>
    </row>
    <row r="216" spans="1:7">
      <c r="A216" s="2">
        <v>45677</v>
      </c>
      <c r="B216" t="s">
        <v>52</v>
      </c>
      <c r="C216" t="s">
        <v>23</v>
      </c>
      <c r="D216" t="s">
        <v>3</v>
      </c>
      <c r="E216" t="s">
        <v>55</v>
      </c>
      <c r="F216">
        <v>100</v>
      </c>
      <c r="G216">
        <f>F216*0.10</f>
        <v>0</v>
      </c>
    </row>
    <row r="217" spans="1:7">
      <c r="A217" s="2">
        <v>45677</v>
      </c>
      <c r="B217" t="s">
        <v>52</v>
      </c>
      <c r="C217" t="s">
        <v>29</v>
      </c>
      <c r="D217" t="s">
        <v>4</v>
      </c>
      <c r="E217" t="s">
        <v>54</v>
      </c>
      <c r="F217">
        <v>299</v>
      </c>
      <c r="G217">
        <f>F217*0.10</f>
        <v>0</v>
      </c>
    </row>
    <row r="218" spans="1:7">
      <c r="A218" s="2">
        <v>45677</v>
      </c>
      <c r="B218" t="s">
        <v>52</v>
      </c>
      <c r="C218" t="s">
        <v>27</v>
      </c>
      <c r="D218" t="s">
        <v>4</v>
      </c>
      <c r="E218" t="s">
        <v>54</v>
      </c>
      <c r="F218">
        <v>269</v>
      </c>
      <c r="G218">
        <f>F218*0.10</f>
        <v>0</v>
      </c>
    </row>
    <row r="219" spans="1:7">
      <c r="A219" s="2">
        <v>45677</v>
      </c>
      <c r="B219" t="s">
        <v>52</v>
      </c>
      <c r="C219" t="s">
        <v>16</v>
      </c>
      <c r="D219" t="s">
        <v>3</v>
      </c>
      <c r="E219" t="s">
        <v>55</v>
      </c>
      <c r="F219">
        <v>3199</v>
      </c>
      <c r="G219">
        <f>F219*0.10</f>
        <v>0</v>
      </c>
    </row>
    <row r="220" spans="1:7">
      <c r="A220" s="2">
        <v>45677</v>
      </c>
      <c r="B220" t="s">
        <v>52</v>
      </c>
      <c r="C220" t="s">
        <v>8</v>
      </c>
      <c r="D220" t="s">
        <v>3</v>
      </c>
      <c r="E220" t="s">
        <v>56</v>
      </c>
      <c r="F220">
        <v>199</v>
      </c>
      <c r="G220">
        <f>F220*0.10</f>
        <v>0</v>
      </c>
    </row>
    <row r="221" spans="1:7">
      <c r="A221" s="2">
        <v>45677</v>
      </c>
      <c r="B221" t="s">
        <v>52</v>
      </c>
      <c r="C221" t="s">
        <v>6</v>
      </c>
      <c r="D221" t="s">
        <v>3</v>
      </c>
      <c r="E221" t="s">
        <v>55</v>
      </c>
      <c r="F221">
        <v>99</v>
      </c>
      <c r="G221">
        <f>F221*0.10</f>
        <v>0</v>
      </c>
    </row>
    <row r="222" spans="1:7">
      <c r="A222" s="2">
        <v>45678</v>
      </c>
      <c r="B222" t="s">
        <v>53</v>
      </c>
      <c r="C222" t="s">
        <v>9</v>
      </c>
      <c r="D222" t="s">
        <v>3</v>
      </c>
      <c r="E222" t="s">
        <v>55</v>
      </c>
      <c r="F222">
        <v>349</v>
      </c>
      <c r="G222">
        <f>F222*0.10</f>
        <v>0</v>
      </c>
    </row>
    <row r="223" spans="1:7">
      <c r="A223" s="2">
        <v>45678</v>
      </c>
      <c r="B223" t="s">
        <v>53</v>
      </c>
      <c r="C223" t="s">
        <v>9</v>
      </c>
      <c r="D223" t="s">
        <v>3</v>
      </c>
      <c r="E223" t="s">
        <v>55</v>
      </c>
      <c r="F223">
        <v>349</v>
      </c>
      <c r="G223">
        <f>F223*0.10</f>
        <v>0</v>
      </c>
    </row>
    <row r="224" spans="1:7">
      <c r="A224" s="2">
        <v>45678</v>
      </c>
      <c r="B224" t="s">
        <v>53</v>
      </c>
      <c r="C224" t="s">
        <v>23</v>
      </c>
      <c r="D224" t="s">
        <v>3</v>
      </c>
      <c r="E224" t="s">
        <v>56</v>
      </c>
      <c r="F224">
        <v>100</v>
      </c>
      <c r="G224">
        <f>F224*0.10</f>
        <v>0</v>
      </c>
    </row>
    <row r="225" spans="1:7">
      <c r="A225" s="2">
        <v>45678</v>
      </c>
      <c r="B225" t="s">
        <v>53</v>
      </c>
      <c r="C225" t="s">
        <v>10</v>
      </c>
      <c r="D225" t="s">
        <v>3</v>
      </c>
      <c r="E225" t="s">
        <v>55</v>
      </c>
      <c r="F225">
        <v>499</v>
      </c>
      <c r="G225">
        <f>F225*0.10</f>
        <v>0</v>
      </c>
    </row>
    <row r="226" spans="1:7">
      <c r="A226" s="2">
        <v>45678</v>
      </c>
      <c r="B226" t="s">
        <v>53</v>
      </c>
      <c r="C226" t="s">
        <v>28</v>
      </c>
      <c r="D226" t="s">
        <v>4</v>
      </c>
      <c r="E226" t="s">
        <v>54</v>
      </c>
      <c r="F226">
        <v>499</v>
      </c>
      <c r="G226">
        <f>F226*0.10</f>
        <v>0</v>
      </c>
    </row>
    <row r="227" spans="1:7">
      <c r="A227" s="2">
        <v>45678</v>
      </c>
      <c r="B227" t="s">
        <v>53</v>
      </c>
      <c r="C227" t="s">
        <v>8</v>
      </c>
      <c r="D227" t="s">
        <v>3</v>
      </c>
      <c r="E227" t="s">
        <v>55</v>
      </c>
      <c r="F227">
        <v>199</v>
      </c>
      <c r="G227">
        <f>F227*0.10</f>
        <v>0</v>
      </c>
    </row>
    <row r="228" spans="1:7">
      <c r="A228" s="2">
        <v>45678</v>
      </c>
      <c r="B228" t="s">
        <v>53</v>
      </c>
      <c r="C228" t="s">
        <v>6</v>
      </c>
      <c r="D228" t="s">
        <v>3</v>
      </c>
      <c r="E228" t="s">
        <v>56</v>
      </c>
      <c r="F228">
        <v>99</v>
      </c>
      <c r="G228">
        <f>F228*0.10</f>
        <v>0</v>
      </c>
    </row>
    <row r="229" spans="1:7">
      <c r="A229" s="2">
        <v>45678</v>
      </c>
      <c r="B229" t="s">
        <v>53</v>
      </c>
      <c r="C229" t="s">
        <v>10</v>
      </c>
      <c r="D229" t="s">
        <v>3</v>
      </c>
      <c r="E229" t="s">
        <v>56</v>
      </c>
      <c r="F229">
        <v>499</v>
      </c>
      <c r="G229">
        <f>F229*0.10</f>
        <v>0</v>
      </c>
    </row>
    <row r="230" spans="1:7">
      <c r="A230" s="2">
        <v>45678</v>
      </c>
      <c r="B230" t="s">
        <v>53</v>
      </c>
      <c r="C230" t="s">
        <v>6</v>
      </c>
      <c r="D230" t="s">
        <v>3</v>
      </c>
      <c r="E230" t="s">
        <v>56</v>
      </c>
      <c r="F230">
        <v>99</v>
      </c>
      <c r="G230">
        <f>F230*0.10</f>
        <v>0</v>
      </c>
    </row>
    <row r="231" spans="1:7">
      <c r="A231" s="2">
        <v>45678</v>
      </c>
      <c r="B231" t="s">
        <v>53</v>
      </c>
      <c r="C231" t="s">
        <v>23</v>
      </c>
      <c r="D231" t="s">
        <v>3</v>
      </c>
      <c r="E231" t="s">
        <v>55</v>
      </c>
      <c r="F231">
        <v>100</v>
      </c>
      <c r="G231">
        <f>F231*0.10</f>
        <v>0</v>
      </c>
    </row>
    <row r="232" spans="1:7">
      <c r="A232" s="2">
        <v>45678</v>
      </c>
      <c r="B232" t="s">
        <v>53</v>
      </c>
      <c r="C232" t="s">
        <v>31</v>
      </c>
      <c r="D232" t="s">
        <v>4</v>
      </c>
      <c r="E232" t="s">
        <v>54</v>
      </c>
      <c r="F232">
        <v>349</v>
      </c>
      <c r="G232">
        <f>F232*0.10</f>
        <v>0</v>
      </c>
    </row>
    <row r="233" spans="1:7">
      <c r="A233" s="2">
        <v>45678</v>
      </c>
      <c r="B233" t="s">
        <v>53</v>
      </c>
      <c r="C233" t="s">
        <v>18</v>
      </c>
      <c r="D233" t="s">
        <v>3</v>
      </c>
      <c r="E233" t="s">
        <v>55</v>
      </c>
      <c r="F233">
        <v>1499</v>
      </c>
      <c r="G233">
        <f>F233*0.10</f>
        <v>0</v>
      </c>
    </row>
    <row r="234" spans="1:7">
      <c r="A234" s="2">
        <v>45678</v>
      </c>
      <c r="B234" t="s">
        <v>53</v>
      </c>
      <c r="C234" t="s">
        <v>9</v>
      </c>
      <c r="D234" t="s">
        <v>3</v>
      </c>
      <c r="E234" t="s">
        <v>55</v>
      </c>
      <c r="F234">
        <v>349</v>
      </c>
      <c r="G234">
        <f>F234*0.10</f>
        <v>0</v>
      </c>
    </row>
    <row r="235" spans="1:7">
      <c r="A235" s="2">
        <v>45679</v>
      </c>
      <c r="B235" t="s">
        <v>47</v>
      </c>
      <c r="C235" t="s">
        <v>25</v>
      </c>
      <c r="D235" t="s">
        <v>4</v>
      </c>
      <c r="E235" t="s">
        <v>54</v>
      </c>
      <c r="F235">
        <v>119</v>
      </c>
      <c r="G235">
        <f>F235*0.10</f>
        <v>0</v>
      </c>
    </row>
    <row r="236" spans="1:7">
      <c r="A236" s="2">
        <v>45679</v>
      </c>
      <c r="B236" t="s">
        <v>47</v>
      </c>
      <c r="C236" t="s">
        <v>8</v>
      </c>
      <c r="D236" t="s">
        <v>3</v>
      </c>
      <c r="E236" t="s">
        <v>55</v>
      </c>
      <c r="F236">
        <v>199</v>
      </c>
      <c r="G236">
        <f>F236*0.10</f>
        <v>0</v>
      </c>
    </row>
    <row r="237" spans="1:7">
      <c r="A237" s="2">
        <v>45679</v>
      </c>
      <c r="B237" t="s">
        <v>47</v>
      </c>
      <c r="C237" t="s">
        <v>10</v>
      </c>
      <c r="D237" t="s">
        <v>3</v>
      </c>
      <c r="E237" t="s">
        <v>55</v>
      </c>
      <c r="F237">
        <v>499</v>
      </c>
      <c r="G237">
        <f>F237*0.10</f>
        <v>0</v>
      </c>
    </row>
    <row r="238" spans="1:7">
      <c r="A238" s="2">
        <v>45679</v>
      </c>
      <c r="B238" t="s">
        <v>47</v>
      </c>
      <c r="C238" t="s">
        <v>11</v>
      </c>
      <c r="D238" t="s">
        <v>3</v>
      </c>
      <c r="E238" t="s">
        <v>55</v>
      </c>
      <c r="F238">
        <v>499</v>
      </c>
      <c r="G238">
        <f>F238*0.10</f>
        <v>0</v>
      </c>
    </row>
    <row r="239" spans="1:7">
      <c r="A239" s="2">
        <v>45679</v>
      </c>
      <c r="B239" t="s">
        <v>47</v>
      </c>
      <c r="C239" t="s">
        <v>9</v>
      </c>
      <c r="D239" t="s">
        <v>3</v>
      </c>
      <c r="E239" t="s">
        <v>55</v>
      </c>
      <c r="F239">
        <v>349</v>
      </c>
      <c r="G239">
        <f>F239*0.10</f>
        <v>0</v>
      </c>
    </row>
    <row r="240" spans="1:7">
      <c r="A240" s="2">
        <v>45679</v>
      </c>
      <c r="B240" t="s">
        <v>47</v>
      </c>
      <c r="C240" t="s">
        <v>6</v>
      </c>
      <c r="D240" t="s">
        <v>3</v>
      </c>
      <c r="E240" t="s">
        <v>56</v>
      </c>
      <c r="F240">
        <v>99</v>
      </c>
      <c r="G240">
        <f>F240*0.10</f>
        <v>0</v>
      </c>
    </row>
    <row r="241" spans="1:7">
      <c r="A241" s="2">
        <v>45679</v>
      </c>
      <c r="B241" t="s">
        <v>47</v>
      </c>
      <c r="C241" t="s">
        <v>13</v>
      </c>
      <c r="D241" t="s">
        <v>3</v>
      </c>
      <c r="E241" t="s">
        <v>56</v>
      </c>
      <c r="F241">
        <v>1499</v>
      </c>
      <c r="G241">
        <f>F241*0.10</f>
        <v>0</v>
      </c>
    </row>
    <row r="242" spans="1:7">
      <c r="A242" s="2">
        <v>45679</v>
      </c>
      <c r="B242" t="s">
        <v>47</v>
      </c>
      <c r="C242" t="s">
        <v>6</v>
      </c>
      <c r="D242" t="s">
        <v>3</v>
      </c>
      <c r="E242" t="s">
        <v>55</v>
      </c>
      <c r="F242">
        <v>99</v>
      </c>
      <c r="G242">
        <f>F242*0.10</f>
        <v>0</v>
      </c>
    </row>
    <row r="243" spans="1:7">
      <c r="A243" s="2">
        <v>45679</v>
      </c>
      <c r="B243" t="s">
        <v>47</v>
      </c>
      <c r="C243" t="s">
        <v>23</v>
      </c>
      <c r="D243" t="s">
        <v>3</v>
      </c>
      <c r="E243" t="s">
        <v>56</v>
      </c>
      <c r="F243">
        <v>100</v>
      </c>
      <c r="G243">
        <f>F243*0.10</f>
        <v>0</v>
      </c>
    </row>
    <row r="244" spans="1:7">
      <c r="A244" s="2">
        <v>45679</v>
      </c>
      <c r="B244" t="s">
        <v>47</v>
      </c>
      <c r="C244" t="s">
        <v>6</v>
      </c>
      <c r="D244" t="s">
        <v>3</v>
      </c>
      <c r="E244" t="s">
        <v>55</v>
      </c>
      <c r="F244">
        <v>99</v>
      </c>
      <c r="G244">
        <f>F244*0.10</f>
        <v>0</v>
      </c>
    </row>
    <row r="245" spans="1:7">
      <c r="A245" s="2">
        <v>45679</v>
      </c>
      <c r="B245" t="s">
        <v>47</v>
      </c>
      <c r="C245" t="s">
        <v>6</v>
      </c>
      <c r="D245" t="s">
        <v>3</v>
      </c>
      <c r="E245" t="s">
        <v>55</v>
      </c>
      <c r="F245">
        <v>99</v>
      </c>
      <c r="G245">
        <f>F245*0.10</f>
        <v>0</v>
      </c>
    </row>
    <row r="246" spans="1:7">
      <c r="A246" s="2">
        <v>45679</v>
      </c>
      <c r="B246" t="s">
        <v>47</v>
      </c>
      <c r="C246" t="s">
        <v>26</v>
      </c>
      <c r="D246" t="s">
        <v>4</v>
      </c>
      <c r="E246" t="s">
        <v>54</v>
      </c>
      <c r="F246">
        <v>149</v>
      </c>
      <c r="G246">
        <f>F246*0.10</f>
        <v>0</v>
      </c>
    </row>
    <row r="247" spans="1:7">
      <c r="A247" s="2">
        <v>45679</v>
      </c>
      <c r="B247" t="s">
        <v>47</v>
      </c>
      <c r="C247" t="s">
        <v>9</v>
      </c>
      <c r="D247" t="s">
        <v>3</v>
      </c>
      <c r="E247" t="s">
        <v>55</v>
      </c>
      <c r="F247">
        <v>349</v>
      </c>
      <c r="G247">
        <f>F247*0.10</f>
        <v>0</v>
      </c>
    </row>
    <row r="248" spans="1:7">
      <c r="A248" s="2">
        <v>45679</v>
      </c>
      <c r="B248" t="s">
        <v>47</v>
      </c>
      <c r="C248" t="s">
        <v>25</v>
      </c>
      <c r="D248" t="s">
        <v>4</v>
      </c>
      <c r="E248" t="s">
        <v>54</v>
      </c>
      <c r="F248">
        <v>119</v>
      </c>
      <c r="G248">
        <f>F248*0.10</f>
        <v>0</v>
      </c>
    </row>
    <row r="249" spans="1:7">
      <c r="A249" s="2">
        <v>45679</v>
      </c>
      <c r="B249" t="s">
        <v>47</v>
      </c>
      <c r="C249" t="s">
        <v>6</v>
      </c>
      <c r="D249" t="s">
        <v>3</v>
      </c>
      <c r="E249" t="s">
        <v>56</v>
      </c>
      <c r="F249">
        <v>99</v>
      </c>
      <c r="G249">
        <f>F249*0.10</f>
        <v>0</v>
      </c>
    </row>
    <row r="250" spans="1:7">
      <c r="A250" s="2">
        <v>45680</v>
      </c>
      <c r="B250" t="s">
        <v>48</v>
      </c>
      <c r="C250" t="s">
        <v>23</v>
      </c>
      <c r="D250" t="s">
        <v>3</v>
      </c>
      <c r="E250" t="s">
        <v>55</v>
      </c>
      <c r="F250">
        <v>100</v>
      </c>
      <c r="G250">
        <f>F250*0.10</f>
        <v>0</v>
      </c>
    </row>
    <row r="251" spans="1:7">
      <c r="A251" s="2">
        <v>45680</v>
      </c>
      <c r="B251" t="s">
        <v>48</v>
      </c>
      <c r="C251" t="s">
        <v>6</v>
      </c>
      <c r="D251" t="s">
        <v>3</v>
      </c>
      <c r="E251" t="s">
        <v>56</v>
      </c>
      <c r="F251">
        <v>99</v>
      </c>
      <c r="G251">
        <f>F251*0.10</f>
        <v>0</v>
      </c>
    </row>
    <row r="252" spans="1:7">
      <c r="A252" s="2">
        <v>45680</v>
      </c>
      <c r="B252" t="s">
        <v>48</v>
      </c>
      <c r="C252" t="s">
        <v>25</v>
      </c>
      <c r="D252" t="s">
        <v>4</v>
      </c>
      <c r="E252" t="s">
        <v>54</v>
      </c>
      <c r="F252">
        <v>119</v>
      </c>
      <c r="G252">
        <f>F252*0.10</f>
        <v>0</v>
      </c>
    </row>
    <row r="253" spans="1:7">
      <c r="A253" s="2">
        <v>45680</v>
      </c>
      <c r="B253" t="s">
        <v>48</v>
      </c>
      <c r="C253" t="s">
        <v>33</v>
      </c>
      <c r="D253" t="s">
        <v>4</v>
      </c>
      <c r="E253" t="s">
        <v>54</v>
      </c>
      <c r="F253">
        <v>399</v>
      </c>
      <c r="G253">
        <f>F253*0.10</f>
        <v>0</v>
      </c>
    </row>
    <row r="254" spans="1:7">
      <c r="A254" s="2">
        <v>45680</v>
      </c>
      <c r="B254" t="s">
        <v>48</v>
      </c>
      <c r="C254" t="s">
        <v>8</v>
      </c>
      <c r="D254" t="s">
        <v>3</v>
      </c>
      <c r="E254" t="s">
        <v>55</v>
      </c>
      <c r="F254">
        <v>199</v>
      </c>
      <c r="G254">
        <f>F254*0.10</f>
        <v>0</v>
      </c>
    </row>
    <row r="255" spans="1:7">
      <c r="A255" s="2">
        <v>45680</v>
      </c>
      <c r="B255" t="s">
        <v>48</v>
      </c>
      <c r="C255" t="s">
        <v>21</v>
      </c>
      <c r="D255" t="s">
        <v>3</v>
      </c>
      <c r="E255" t="s">
        <v>55</v>
      </c>
      <c r="F255">
        <v>1999</v>
      </c>
      <c r="G255">
        <f>F255*0.10</f>
        <v>0</v>
      </c>
    </row>
    <row r="256" spans="1:7">
      <c r="A256" s="2">
        <v>45680</v>
      </c>
      <c r="B256" t="s">
        <v>48</v>
      </c>
      <c r="C256" t="s">
        <v>23</v>
      </c>
      <c r="D256" t="s">
        <v>3</v>
      </c>
      <c r="E256" t="s">
        <v>55</v>
      </c>
      <c r="F256">
        <v>100</v>
      </c>
      <c r="G256">
        <f>F256*0.10</f>
        <v>0</v>
      </c>
    </row>
    <row r="257" spans="1:7">
      <c r="A257" s="2">
        <v>45680</v>
      </c>
      <c r="B257" t="s">
        <v>48</v>
      </c>
      <c r="C257" t="s">
        <v>32</v>
      </c>
      <c r="D257" t="s">
        <v>4</v>
      </c>
      <c r="E257" t="s">
        <v>54</v>
      </c>
      <c r="F257">
        <v>399</v>
      </c>
      <c r="G257">
        <f>F257*0.10</f>
        <v>0</v>
      </c>
    </row>
    <row r="258" spans="1:7">
      <c r="A258" s="2">
        <v>45681</v>
      </c>
      <c r="B258" t="s">
        <v>49</v>
      </c>
      <c r="C258" t="s">
        <v>6</v>
      </c>
      <c r="D258" t="s">
        <v>3</v>
      </c>
      <c r="E258" t="s">
        <v>56</v>
      </c>
      <c r="F258">
        <v>99</v>
      </c>
      <c r="G258">
        <f>F258*0.10</f>
        <v>0</v>
      </c>
    </row>
    <row r="259" spans="1:7">
      <c r="A259" s="2">
        <v>45681</v>
      </c>
      <c r="B259" t="s">
        <v>49</v>
      </c>
      <c r="C259" t="s">
        <v>31</v>
      </c>
      <c r="D259" t="s">
        <v>4</v>
      </c>
      <c r="E259" t="s">
        <v>54</v>
      </c>
      <c r="F259">
        <v>349</v>
      </c>
      <c r="G259">
        <f>F259*0.10</f>
        <v>0</v>
      </c>
    </row>
    <row r="260" spans="1:7">
      <c r="A260" s="2">
        <v>45681</v>
      </c>
      <c r="B260" t="s">
        <v>49</v>
      </c>
      <c r="C260" t="s">
        <v>31</v>
      </c>
      <c r="D260" t="s">
        <v>4</v>
      </c>
      <c r="E260" t="s">
        <v>54</v>
      </c>
      <c r="F260">
        <v>349</v>
      </c>
      <c r="G260">
        <f>F260*0.10</f>
        <v>0</v>
      </c>
    </row>
    <row r="261" spans="1:7">
      <c r="A261" s="2">
        <v>45681</v>
      </c>
      <c r="B261" t="s">
        <v>49</v>
      </c>
      <c r="C261" t="s">
        <v>28</v>
      </c>
      <c r="D261" t="s">
        <v>4</v>
      </c>
      <c r="E261" t="s">
        <v>54</v>
      </c>
      <c r="F261">
        <v>499</v>
      </c>
      <c r="G261">
        <f>F261*0.10</f>
        <v>0</v>
      </c>
    </row>
    <row r="262" spans="1:7">
      <c r="A262" s="2">
        <v>45681</v>
      </c>
      <c r="B262" t="s">
        <v>49</v>
      </c>
      <c r="C262" t="s">
        <v>23</v>
      </c>
      <c r="D262" t="s">
        <v>3</v>
      </c>
      <c r="E262" t="s">
        <v>55</v>
      </c>
      <c r="F262">
        <v>100</v>
      </c>
      <c r="G262">
        <f>F262*0.10</f>
        <v>0</v>
      </c>
    </row>
    <row r="263" spans="1:7">
      <c r="A263" s="2">
        <v>45681</v>
      </c>
      <c r="B263" t="s">
        <v>49</v>
      </c>
      <c r="C263" t="s">
        <v>8</v>
      </c>
      <c r="D263" t="s">
        <v>3</v>
      </c>
      <c r="E263" t="s">
        <v>55</v>
      </c>
      <c r="F263">
        <v>199</v>
      </c>
      <c r="G263">
        <f>F263*0.10</f>
        <v>0</v>
      </c>
    </row>
    <row r="264" spans="1:7">
      <c r="A264" s="2">
        <v>45681</v>
      </c>
      <c r="B264" t="s">
        <v>49</v>
      </c>
      <c r="C264" t="s">
        <v>30</v>
      </c>
      <c r="D264" t="s">
        <v>4</v>
      </c>
      <c r="E264" t="s">
        <v>54</v>
      </c>
      <c r="F264">
        <v>399</v>
      </c>
      <c r="G264">
        <f>F264*0.10</f>
        <v>0</v>
      </c>
    </row>
    <row r="265" spans="1:7">
      <c r="A265" s="2">
        <v>45681</v>
      </c>
      <c r="B265" t="s">
        <v>49</v>
      </c>
      <c r="C265" t="s">
        <v>6</v>
      </c>
      <c r="D265" t="s">
        <v>3</v>
      </c>
      <c r="E265" t="s">
        <v>55</v>
      </c>
      <c r="F265">
        <v>99</v>
      </c>
      <c r="G265">
        <f>F265*0.10</f>
        <v>0</v>
      </c>
    </row>
    <row r="266" spans="1:7">
      <c r="A266" s="2">
        <v>45681</v>
      </c>
      <c r="B266" t="s">
        <v>49</v>
      </c>
      <c r="C266" t="s">
        <v>10</v>
      </c>
      <c r="D266" t="s">
        <v>3</v>
      </c>
      <c r="E266" t="s">
        <v>55</v>
      </c>
      <c r="F266">
        <v>499</v>
      </c>
      <c r="G266">
        <f>F266*0.10</f>
        <v>0</v>
      </c>
    </row>
    <row r="267" spans="1:7">
      <c r="A267" s="2">
        <v>45681</v>
      </c>
      <c r="B267" t="s">
        <v>49</v>
      </c>
      <c r="C267" t="s">
        <v>18</v>
      </c>
      <c r="D267" t="s">
        <v>3</v>
      </c>
      <c r="E267" t="s">
        <v>56</v>
      </c>
      <c r="F267">
        <v>1499</v>
      </c>
      <c r="G267">
        <f>F267*0.10</f>
        <v>0</v>
      </c>
    </row>
    <row r="268" spans="1:7">
      <c r="A268" s="2">
        <v>45681</v>
      </c>
      <c r="B268" t="s">
        <v>49</v>
      </c>
      <c r="C268" t="s">
        <v>11</v>
      </c>
      <c r="D268" t="s">
        <v>3</v>
      </c>
      <c r="E268" t="s">
        <v>56</v>
      </c>
      <c r="F268">
        <v>499</v>
      </c>
      <c r="G268">
        <f>F268*0.10</f>
        <v>0</v>
      </c>
    </row>
    <row r="269" spans="1:7">
      <c r="A269" s="2">
        <v>45681</v>
      </c>
      <c r="B269" t="s">
        <v>49</v>
      </c>
      <c r="C269" t="s">
        <v>12</v>
      </c>
      <c r="D269" t="s">
        <v>3</v>
      </c>
      <c r="E269" t="s">
        <v>56</v>
      </c>
      <c r="F269">
        <v>699</v>
      </c>
      <c r="G269">
        <f>F269*0.10</f>
        <v>0</v>
      </c>
    </row>
    <row r="270" spans="1:7">
      <c r="A270" s="2">
        <v>45681</v>
      </c>
      <c r="B270" t="s">
        <v>49</v>
      </c>
      <c r="C270" t="s">
        <v>25</v>
      </c>
      <c r="D270" t="s">
        <v>4</v>
      </c>
      <c r="E270" t="s">
        <v>54</v>
      </c>
      <c r="F270">
        <v>119</v>
      </c>
      <c r="G270">
        <f>F270*0.10</f>
        <v>0</v>
      </c>
    </row>
    <row r="271" spans="1:7">
      <c r="A271" s="2">
        <v>45681</v>
      </c>
      <c r="B271" t="s">
        <v>49</v>
      </c>
      <c r="C271" t="s">
        <v>31</v>
      </c>
      <c r="D271" t="s">
        <v>4</v>
      </c>
      <c r="E271" t="s">
        <v>54</v>
      </c>
      <c r="F271">
        <v>349</v>
      </c>
      <c r="G271">
        <f>F271*0.10</f>
        <v>0</v>
      </c>
    </row>
    <row r="272" spans="1:7">
      <c r="A272" s="2">
        <v>45681</v>
      </c>
      <c r="B272" t="s">
        <v>49</v>
      </c>
      <c r="C272" t="s">
        <v>7</v>
      </c>
      <c r="D272" t="s">
        <v>3</v>
      </c>
      <c r="E272" t="s">
        <v>55</v>
      </c>
      <c r="F272">
        <v>149</v>
      </c>
      <c r="G272">
        <f>F272*0.10</f>
        <v>0</v>
      </c>
    </row>
    <row r="273" spans="1:7">
      <c r="A273" s="2">
        <v>45682</v>
      </c>
      <c r="B273" t="s">
        <v>50</v>
      </c>
      <c r="C273" t="s">
        <v>6</v>
      </c>
      <c r="D273" t="s">
        <v>3</v>
      </c>
      <c r="E273" t="s">
        <v>56</v>
      </c>
      <c r="F273">
        <v>99</v>
      </c>
      <c r="G273">
        <f>F273*0.10</f>
        <v>0</v>
      </c>
    </row>
    <row r="274" spans="1:7">
      <c r="A274" s="2">
        <v>45682</v>
      </c>
      <c r="B274" t="s">
        <v>50</v>
      </c>
      <c r="C274" t="s">
        <v>11</v>
      </c>
      <c r="D274" t="s">
        <v>3</v>
      </c>
      <c r="E274" t="s">
        <v>55</v>
      </c>
      <c r="F274">
        <v>499</v>
      </c>
      <c r="G274">
        <f>F274*0.10</f>
        <v>0</v>
      </c>
    </row>
    <row r="275" spans="1:7">
      <c r="A275" s="2">
        <v>45682</v>
      </c>
      <c r="B275" t="s">
        <v>50</v>
      </c>
      <c r="C275" t="s">
        <v>8</v>
      </c>
      <c r="D275" t="s">
        <v>3</v>
      </c>
      <c r="E275" t="s">
        <v>56</v>
      </c>
      <c r="F275">
        <v>199</v>
      </c>
      <c r="G275">
        <f>F275*0.10</f>
        <v>0</v>
      </c>
    </row>
    <row r="276" spans="1:7">
      <c r="A276" s="2">
        <v>45682</v>
      </c>
      <c r="B276" t="s">
        <v>50</v>
      </c>
      <c r="C276" t="s">
        <v>29</v>
      </c>
      <c r="D276" t="s">
        <v>4</v>
      </c>
      <c r="E276" t="s">
        <v>54</v>
      </c>
      <c r="F276">
        <v>299</v>
      </c>
      <c r="G276">
        <f>F276*0.10</f>
        <v>0</v>
      </c>
    </row>
    <row r="277" spans="1:7">
      <c r="A277" s="2">
        <v>45682</v>
      </c>
      <c r="B277" t="s">
        <v>50</v>
      </c>
      <c r="C277" t="s">
        <v>7</v>
      </c>
      <c r="D277" t="s">
        <v>3</v>
      </c>
      <c r="E277" t="s">
        <v>55</v>
      </c>
      <c r="F277">
        <v>149</v>
      </c>
      <c r="G277">
        <f>F277*0.10</f>
        <v>0</v>
      </c>
    </row>
    <row r="278" spans="1:7">
      <c r="A278" s="2">
        <v>45682</v>
      </c>
      <c r="B278" t="s">
        <v>50</v>
      </c>
      <c r="C278" t="s">
        <v>23</v>
      </c>
      <c r="D278" t="s">
        <v>3</v>
      </c>
      <c r="E278" t="s">
        <v>55</v>
      </c>
      <c r="F278">
        <v>100</v>
      </c>
      <c r="G278">
        <f>F278*0.10</f>
        <v>0</v>
      </c>
    </row>
    <row r="279" spans="1:7">
      <c r="A279" s="2">
        <v>45682</v>
      </c>
      <c r="B279" t="s">
        <v>50</v>
      </c>
      <c r="C279" t="s">
        <v>18</v>
      </c>
      <c r="D279" t="s">
        <v>3</v>
      </c>
      <c r="E279" t="s">
        <v>56</v>
      </c>
      <c r="F279">
        <v>1499</v>
      </c>
      <c r="G279">
        <f>F279*0.10</f>
        <v>0</v>
      </c>
    </row>
    <row r="280" spans="1:7">
      <c r="A280" s="2">
        <v>45682</v>
      </c>
      <c r="B280" t="s">
        <v>50</v>
      </c>
      <c r="C280" t="s">
        <v>25</v>
      </c>
      <c r="D280" t="s">
        <v>4</v>
      </c>
      <c r="E280" t="s">
        <v>54</v>
      </c>
      <c r="F280">
        <v>119</v>
      </c>
      <c r="G280">
        <f>F280*0.10</f>
        <v>0</v>
      </c>
    </row>
    <row r="281" spans="1:7">
      <c r="A281" s="2">
        <v>45682</v>
      </c>
      <c r="B281" t="s">
        <v>50</v>
      </c>
      <c r="C281" t="s">
        <v>25</v>
      </c>
      <c r="D281" t="s">
        <v>4</v>
      </c>
      <c r="E281" t="s">
        <v>54</v>
      </c>
      <c r="F281">
        <v>119</v>
      </c>
      <c r="G281">
        <f>F281*0.10</f>
        <v>0</v>
      </c>
    </row>
    <row r="282" spans="1:7">
      <c r="A282" s="2">
        <v>45682</v>
      </c>
      <c r="B282" t="s">
        <v>50</v>
      </c>
      <c r="C282" t="s">
        <v>26</v>
      </c>
      <c r="D282" t="s">
        <v>4</v>
      </c>
      <c r="E282" t="s">
        <v>54</v>
      </c>
      <c r="F282">
        <v>149</v>
      </c>
      <c r="G282">
        <f>F282*0.10</f>
        <v>0</v>
      </c>
    </row>
    <row r="283" spans="1:7">
      <c r="A283" s="2">
        <v>45682</v>
      </c>
      <c r="B283" t="s">
        <v>50</v>
      </c>
      <c r="C283" t="s">
        <v>16</v>
      </c>
      <c r="D283" t="s">
        <v>3</v>
      </c>
      <c r="E283" t="s">
        <v>55</v>
      </c>
      <c r="F283">
        <v>3199</v>
      </c>
      <c r="G283">
        <f>F283*0.10</f>
        <v>0</v>
      </c>
    </row>
    <row r="284" spans="1:7">
      <c r="A284" s="2">
        <v>45683</v>
      </c>
      <c r="B284" t="s">
        <v>51</v>
      </c>
      <c r="C284" t="s">
        <v>8</v>
      </c>
      <c r="D284" t="s">
        <v>3</v>
      </c>
      <c r="E284" t="s">
        <v>56</v>
      </c>
      <c r="F284">
        <v>199</v>
      </c>
      <c r="G284">
        <f>F284*0.10</f>
        <v>0</v>
      </c>
    </row>
    <row r="285" spans="1:7">
      <c r="A285" s="2">
        <v>45683</v>
      </c>
      <c r="B285" t="s">
        <v>51</v>
      </c>
      <c r="C285" t="s">
        <v>29</v>
      </c>
      <c r="D285" t="s">
        <v>4</v>
      </c>
      <c r="E285" t="s">
        <v>54</v>
      </c>
      <c r="F285">
        <v>299</v>
      </c>
      <c r="G285">
        <f>F285*0.10</f>
        <v>0</v>
      </c>
    </row>
    <row r="286" spans="1:7">
      <c r="A286" s="2">
        <v>45683</v>
      </c>
      <c r="B286" t="s">
        <v>51</v>
      </c>
      <c r="C286" t="s">
        <v>20</v>
      </c>
      <c r="D286" t="s">
        <v>3</v>
      </c>
      <c r="E286" t="s">
        <v>55</v>
      </c>
      <c r="F286">
        <v>1499</v>
      </c>
      <c r="G286">
        <f>F286*0.10</f>
        <v>0</v>
      </c>
    </row>
    <row r="287" spans="1:7">
      <c r="A287" s="2">
        <v>45683</v>
      </c>
      <c r="B287" t="s">
        <v>51</v>
      </c>
      <c r="C287" t="s">
        <v>7</v>
      </c>
      <c r="D287" t="s">
        <v>3</v>
      </c>
      <c r="E287" t="s">
        <v>56</v>
      </c>
      <c r="F287">
        <v>149</v>
      </c>
      <c r="G287">
        <f>F287*0.10</f>
        <v>0</v>
      </c>
    </row>
    <row r="288" spans="1:7">
      <c r="A288" s="2">
        <v>45683</v>
      </c>
      <c r="B288" t="s">
        <v>51</v>
      </c>
      <c r="C288" t="s">
        <v>23</v>
      </c>
      <c r="D288" t="s">
        <v>3</v>
      </c>
      <c r="E288" t="s">
        <v>55</v>
      </c>
      <c r="F288">
        <v>100</v>
      </c>
      <c r="G288">
        <f>F288*0.10</f>
        <v>0</v>
      </c>
    </row>
    <row r="289" spans="1:7">
      <c r="A289" s="2">
        <v>45683</v>
      </c>
      <c r="B289" t="s">
        <v>51</v>
      </c>
      <c r="C289" t="s">
        <v>7</v>
      </c>
      <c r="D289" t="s">
        <v>3</v>
      </c>
      <c r="E289" t="s">
        <v>55</v>
      </c>
      <c r="F289">
        <v>149</v>
      </c>
      <c r="G289">
        <f>F289*0.10</f>
        <v>0</v>
      </c>
    </row>
    <row r="290" spans="1:7">
      <c r="A290" s="2">
        <v>45683</v>
      </c>
      <c r="B290" t="s">
        <v>51</v>
      </c>
      <c r="C290" t="s">
        <v>6</v>
      </c>
      <c r="D290" t="s">
        <v>3</v>
      </c>
      <c r="E290" t="s">
        <v>55</v>
      </c>
      <c r="F290">
        <v>99</v>
      </c>
      <c r="G290">
        <f>F290*0.10</f>
        <v>0</v>
      </c>
    </row>
    <row r="291" spans="1:7">
      <c r="A291" s="2">
        <v>45683</v>
      </c>
      <c r="B291" t="s">
        <v>51</v>
      </c>
      <c r="C291" t="s">
        <v>12</v>
      </c>
      <c r="D291" t="s">
        <v>3</v>
      </c>
      <c r="E291" t="s">
        <v>56</v>
      </c>
      <c r="F291">
        <v>699</v>
      </c>
      <c r="G291">
        <f>F291*0.10</f>
        <v>0</v>
      </c>
    </row>
    <row r="292" spans="1:7">
      <c r="A292" s="2">
        <v>45683</v>
      </c>
      <c r="B292" t="s">
        <v>51</v>
      </c>
      <c r="C292" t="s">
        <v>31</v>
      </c>
      <c r="D292" t="s">
        <v>4</v>
      </c>
      <c r="E292" t="s">
        <v>54</v>
      </c>
      <c r="F292">
        <v>349</v>
      </c>
      <c r="G292">
        <f>F292*0.10</f>
        <v>0</v>
      </c>
    </row>
    <row r="293" spans="1:7">
      <c r="A293" s="2">
        <v>45683</v>
      </c>
      <c r="B293" t="s">
        <v>51</v>
      </c>
      <c r="C293" t="s">
        <v>23</v>
      </c>
      <c r="D293" t="s">
        <v>3</v>
      </c>
      <c r="E293" t="s">
        <v>56</v>
      </c>
      <c r="F293">
        <v>100</v>
      </c>
      <c r="G293">
        <f>F293*0.10</f>
        <v>0</v>
      </c>
    </row>
    <row r="294" spans="1:7">
      <c r="A294" s="2">
        <v>45684</v>
      </c>
      <c r="B294" t="s">
        <v>52</v>
      </c>
      <c r="C294" t="s">
        <v>6</v>
      </c>
      <c r="D294" t="s">
        <v>3</v>
      </c>
      <c r="E294" t="s">
        <v>56</v>
      </c>
      <c r="F294">
        <v>99</v>
      </c>
      <c r="G294">
        <f>F294*0.10</f>
        <v>0</v>
      </c>
    </row>
    <row r="295" spans="1:7">
      <c r="A295" s="2">
        <v>45684</v>
      </c>
      <c r="B295" t="s">
        <v>52</v>
      </c>
      <c r="C295" t="s">
        <v>6</v>
      </c>
      <c r="D295" t="s">
        <v>3</v>
      </c>
      <c r="E295" t="s">
        <v>55</v>
      </c>
      <c r="F295">
        <v>99</v>
      </c>
      <c r="G295">
        <f>F295*0.10</f>
        <v>0</v>
      </c>
    </row>
    <row r="296" spans="1:7">
      <c r="A296" s="2">
        <v>45684</v>
      </c>
      <c r="B296" t="s">
        <v>52</v>
      </c>
      <c r="C296" t="s">
        <v>23</v>
      </c>
      <c r="D296" t="s">
        <v>3</v>
      </c>
      <c r="E296" t="s">
        <v>55</v>
      </c>
      <c r="F296">
        <v>100</v>
      </c>
      <c r="G296">
        <f>F296*0.10</f>
        <v>0</v>
      </c>
    </row>
    <row r="297" spans="1:7">
      <c r="A297" s="2">
        <v>45684</v>
      </c>
      <c r="B297" t="s">
        <v>52</v>
      </c>
      <c r="C297" t="s">
        <v>6</v>
      </c>
      <c r="D297" t="s">
        <v>3</v>
      </c>
      <c r="E297" t="s">
        <v>56</v>
      </c>
      <c r="F297">
        <v>99</v>
      </c>
      <c r="G297">
        <f>F297*0.10</f>
        <v>0</v>
      </c>
    </row>
    <row r="298" spans="1:7">
      <c r="A298" s="2">
        <v>45684</v>
      </c>
      <c r="B298" t="s">
        <v>52</v>
      </c>
      <c r="C298" t="s">
        <v>27</v>
      </c>
      <c r="D298" t="s">
        <v>4</v>
      </c>
      <c r="E298" t="s">
        <v>54</v>
      </c>
      <c r="F298">
        <v>269</v>
      </c>
      <c r="G298">
        <f>F298*0.10</f>
        <v>0</v>
      </c>
    </row>
    <row r="299" spans="1:7">
      <c r="A299" s="2">
        <v>45684</v>
      </c>
      <c r="B299" t="s">
        <v>52</v>
      </c>
      <c r="C299" t="s">
        <v>8</v>
      </c>
      <c r="D299" t="s">
        <v>3</v>
      </c>
      <c r="E299" t="s">
        <v>55</v>
      </c>
      <c r="F299">
        <v>199</v>
      </c>
      <c r="G299">
        <f>F299*0.10</f>
        <v>0</v>
      </c>
    </row>
    <row r="300" spans="1:7">
      <c r="A300" s="2">
        <v>45684</v>
      </c>
      <c r="B300" t="s">
        <v>52</v>
      </c>
      <c r="C300" t="s">
        <v>6</v>
      </c>
      <c r="D300" t="s">
        <v>3</v>
      </c>
      <c r="E300" t="s">
        <v>56</v>
      </c>
      <c r="F300">
        <v>99</v>
      </c>
      <c r="G300">
        <f>F300*0.10</f>
        <v>0</v>
      </c>
    </row>
    <row r="301" spans="1:7">
      <c r="A301" s="2">
        <v>45684</v>
      </c>
      <c r="B301" t="s">
        <v>52</v>
      </c>
      <c r="C301" t="s">
        <v>23</v>
      </c>
      <c r="D301" t="s">
        <v>3</v>
      </c>
      <c r="E301" t="s">
        <v>55</v>
      </c>
      <c r="F301">
        <v>100</v>
      </c>
      <c r="G301">
        <f>F301*0.10</f>
        <v>0</v>
      </c>
    </row>
    <row r="302" spans="1:7">
      <c r="A302" s="2">
        <v>45684</v>
      </c>
      <c r="B302" t="s">
        <v>52</v>
      </c>
      <c r="C302" t="s">
        <v>6</v>
      </c>
      <c r="D302" t="s">
        <v>3</v>
      </c>
      <c r="E302" t="s">
        <v>55</v>
      </c>
      <c r="F302">
        <v>99</v>
      </c>
      <c r="G302">
        <f>F302*0.10</f>
        <v>0</v>
      </c>
    </row>
    <row r="303" spans="1:7">
      <c r="A303" s="2">
        <v>45684</v>
      </c>
      <c r="B303" t="s">
        <v>52</v>
      </c>
      <c r="C303" t="s">
        <v>7</v>
      </c>
      <c r="D303" t="s">
        <v>3</v>
      </c>
      <c r="E303" t="s">
        <v>55</v>
      </c>
      <c r="F303">
        <v>149</v>
      </c>
      <c r="G303">
        <f>F303*0.10</f>
        <v>0</v>
      </c>
    </row>
    <row r="304" spans="1:7">
      <c r="A304" s="2">
        <v>45684</v>
      </c>
      <c r="B304" t="s">
        <v>52</v>
      </c>
      <c r="C304" t="s">
        <v>7</v>
      </c>
      <c r="D304" t="s">
        <v>3</v>
      </c>
      <c r="E304" t="s">
        <v>56</v>
      </c>
      <c r="F304">
        <v>149</v>
      </c>
      <c r="G304">
        <f>F304*0.10</f>
        <v>0</v>
      </c>
    </row>
    <row r="305" spans="1:7">
      <c r="A305" s="2">
        <v>45684</v>
      </c>
      <c r="B305" t="s">
        <v>52</v>
      </c>
      <c r="C305" t="s">
        <v>12</v>
      </c>
      <c r="D305" t="s">
        <v>3</v>
      </c>
      <c r="E305" t="s">
        <v>55</v>
      </c>
      <c r="F305">
        <v>699</v>
      </c>
      <c r="G305">
        <f>F305*0.10</f>
        <v>0</v>
      </c>
    </row>
    <row r="306" spans="1:7">
      <c r="A306" s="2">
        <v>45685</v>
      </c>
      <c r="B306" t="s">
        <v>53</v>
      </c>
      <c r="C306" t="s">
        <v>6</v>
      </c>
      <c r="D306" t="s">
        <v>3</v>
      </c>
      <c r="E306" t="s">
        <v>55</v>
      </c>
      <c r="F306">
        <v>99</v>
      </c>
      <c r="G306">
        <f>F306*0.10</f>
        <v>0</v>
      </c>
    </row>
    <row r="307" spans="1:7">
      <c r="A307" s="2">
        <v>45685</v>
      </c>
      <c r="B307" t="s">
        <v>53</v>
      </c>
      <c r="C307" t="s">
        <v>7</v>
      </c>
      <c r="D307" t="s">
        <v>3</v>
      </c>
      <c r="E307" t="s">
        <v>55</v>
      </c>
      <c r="F307">
        <v>149</v>
      </c>
      <c r="G307">
        <f>F307*0.10</f>
        <v>0</v>
      </c>
    </row>
    <row r="308" spans="1:7">
      <c r="A308" s="2">
        <v>45685</v>
      </c>
      <c r="B308" t="s">
        <v>53</v>
      </c>
      <c r="C308" t="s">
        <v>6</v>
      </c>
      <c r="D308" t="s">
        <v>3</v>
      </c>
      <c r="E308" t="s">
        <v>55</v>
      </c>
      <c r="F308">
        <v>99</v>
      </c>
      <c r="G308">
        <f>F308*0.10</f>
        <v>0</v>
      </c>
    </row>
    <row r="309" spans="1:7">
      <c r="A309" s="2">
        <v>45685</v>
      </c>
      <c r="B309" t="s">
        <v>53</v>
      </c>
      <c r="C309" t="s">
        <v>29</v>
      </c>
      <c r="D309" t="s">
        <v>4</v>
      </c>
      <c r="E309" t="s">
        <v>54</v>
      </c>
      <c r="F309">
        <v>299</v>
      </c>
      <c r="G309">
        <f>F309*0.10</f>
        <v>0</v>
      </c>
    </row>
    <row r="310" spans="1:7">
      <c r="A310" s="2">
        <v>45685</v>
      </c>
      <c r="B310" t="s">
        <v>53</v>
      </c>
      <c r="C310" t="s">
        <v>33</v>
      </c>
      <c r="D310" t="s">
        <v>4</v>
      </c>
      <c r="E310" t="s">
        <v>54</v>
      </c>
      <c r="F310">
        <v>399</v>
      </c>
      <c r="G310">
        <f>F310*0.10</f>
        <v>0</v>
      </c>
    </row>
    <row r="311" spans="1:7">
      <c r="A311" s="2">
        <v>45685</v>
      </c>
      <c r="B311" t="s">
        <v>53</v>
      </c>
      <c r="C311" t="s">
        <v>6</v>
      </c>
      <c r="D311" t="s">
        <v>3</v>
      </c>
      <c r="E311" t="s">
        <v>55</v>
      </c>
      <c r="F311">
        <v>99</v>
      </c>
      <c r="G311">
        <f>F311*0.10</f>
        <v>0</v>
      </c>
    </row>
    <row r="312" spans="1:7">
      <c r="A312" s="2">
        <v>45685</v>
      </c>
      <c r="B312" t="s">
        <v>53</v>
      </c>
      <c r="C312" t="s">
        <v>8</v>
      </c>
      <c r="D312" t="s">
        <v>3</v>
      </c>
      <c r="E312" t="s">
        <v>55</v>
      </c>
      <c r="F312">
        <v>199</v>
      </c>
      <c r="G312">
        <f>F312*0.10</f>
        <v>0</v>
      </c>
    </row>
    <row r="313" spans="1:7">
      <c r="A313" s="2">
        <v>45685</v>
      </c>
      <c r="B313" t="s">
        <v>53</v>
      </c>
      <c r="C313" t="s">
        <v>7</v>
      </c>
      <c r="D313" t="s">
        <v>3</v>
      </c>
      <c r="E313" t="s">
        <v>56</v>
      </c>
      <c r="F313">
        <v>149</v>
      </c>
      <c r="G313">
        <f>F313*0.10</f>
        <v>0</v>
      </c>
    </row>
    <row r="314" spans="1:7">
      <c r="A314" s="2">
        <v>45686</v>
      </c>
      <c r="B314" t="s">
        <v>47</v>
      </c>
      <c r="C314" t="s">
        <v>10</v>
      </c>
      <c r="D314" t="s">
        <v>3</v>
      </c>
      <c r="E314" t="s">
        <v>55</v>
      </c>
      <c r="F314">
        <v>499</v>
      </c>
      <c r="G314">
        <f>F314*0.10</f>
        <v>0</v>
      </c>
    </row>
    <row r="315" spans="1:7">
      <c r="A315" s="2">
        <v>45686</v>
      </c>
      <c r="B315" t="s">
        <v>47</v>
      </c>
      <c r="C315" t="s">
        <v>7</v>
      </c>
      <c r="D315" t="s">
        <v>3</v>
      </c>
      <c r="E315" t="s">
        <v>56</v>
      </c>
      <c r="F315">
        <v>149</v>
      </c>
      <c r="G315">
        <f>F315*0.10</f>
        <v>0</v>
      </c>
    </row>
    <row r="316" spans="1:7">
      <c r="A316" s="2">
        <v>45686</v>
      </c>
      <c r="B316" t="s">
        <v>47</v>
      </c>
      <c r="C316" t="s">
        <v>7</v>
      </c>
      <c r="D316" t="s">
        <v>3</v>
      </c>
      <c r="E316" t="s">
        <v>55</v>
      </c>
      <c r="F316">
        <v>149</v>
      </c>
      <c r="G316">
        <f>F316*0.10</f>
        <v>0</v>
      </c>
    </row>
    <row r="317" spans="1:7">
      <c r="A317" s="2">
        <v>45686</v>
      </c>
      <c r="B317" t="s">
        <v>47</v>
      </c>
      <c r="C317" t="s">
        <v>11</v>
      </c>
      <c r="D317" t="s">
        <v>3</v>
      </c>
      <c r="E317" t="s">
        <v>55</v>
      </c>
      <c r="F317">
        <v>499</v>
      </c>
      <c r="G317">
        <f>F317*0.10</f>
        <v>0</v>
      </c>
    </row>
    <row r="318" spans="1:7">
      <c r="A318" s="2">
        <v>45686</v>
      </c>
      <c r="B318" t="s">
        <v>47</v>
      </c>
      <c r="C318" t="s">
        <v>6</v>
      </c>
      <c r="D318" t="s">
        <v>3</v>
      </c>
      <c r="E318" t="s">
        <v>55</v>
      </c>
      <c r="F318">
        <v>99</v>
      </c>
      <c r="G318">
        <f>F318*0.10</f>
        <v>0</v>
      </c>
    </row>
    <row r="319" spans="1:7">
      <c r="A319" s="2">
        <v>45686</v>
      </c>
      <c r="B319" t="s">
        <v>47</v>
      </c>
      <c r="C319" t="s">
        <v>32</v>
      </c>
      <c r="D319" t="s">
        <v>4</v>
      </c>
      <c r="E319" t="s">
        <v>54</v>
      </c>
      <c r="F319">
        <v>399</v>
      </c>
      <c r="G319">
        <f>F319*0.10</f>
        <v>0</v>
      </c>
    </row>
    <row r="320" spans="1:7">
      <c r="A320" s="2">
        <v>45686</v>
      </c>
      <c r="B320" t="s">
        <v>47</v>
      </c>
      <c r="C320" t="s">
        <v>13</v>
      </c>
      <c r="D320" t="s">
        <v>3</v>
      </c>
      <c r="E320" t="s">
        <v>55</v>
      </c>
      <c r="F320">
        <v>1499</v>
      </c>
      <c r="G320">
        <f>F320*0.10</f>
        <v>0</v>
      </c>
    </row>
    <row r="321" spans="1:7">
      <c r="A321" s="2">
        <v>45686</v>
      </c>
      <c r="B321" t="s">
        <v>47</v>
      </c>
      <c r="C321" t="s">
        <v>32</v>
      </c>
      <c r="D321" t="s">
        <v>4</v>
      </c>
      <c r="E321" t="s">
        <v>54</v>
      </c>
      <c r="F321">
        <v>399</v>
      </c>
      <c r="G321">
        <f>F321*0.10</f>
        <v>0</v>
      </c>
    </row>
    <row r="322" spans="1:7">
      <c r="A322" s="2">
        <v>45686</v>
      </c>
      <c r="B322" t="s">
        <v>47</v>
      </c>
      <c r="C322" t="s">
        <v>7</v>
      </c>
      <c r="D322" t="s">
        <v>3</v>
      </c>
      <c r="E322" t="s">
        <v>56</v>
      </c>
      <c r="F322">
        <v>149</v>
      </c>
      <c r="G322">
        <f>F322*0.10</f>
        <v>0</v>
      </c>
    </row>
    <row r="323" spans="1:7">
      <c r="A323" s="2">
        <v>45686</v>
      </c>
      <c r="B323" t="s">
        <v>47</v>
      </c>
      <c r="C323" t="s">
        <v>12</v>
      </c>
      <c r="D323" t="s">
        <v>3</v>
      </c>
      <c r="E323" t="s">
        <v>55</v>
      </c>
      <c r="F323">
        <v>699</v>
      </c>
      <c r="G323">
        <f>F323*0.10</f>
        <v>0</v>
      </c>
    </row>
    <row r="324" spans="1:7">
      <c r="A324" s="2">
        <v>45686</v>
      </c>
      <c r="B324" t="s">
        <v>47</v>
      </c>
      <c r="C324" t="s">
        <v>23</v>
      </c>
      <c r="D324" t="s">
        <v>3</v>
      </c>
      <c r="E324" t="s">
        <v>55</v>
      </c>
      <c r="F324">
        <v>100</v>
      </c>
      <c r="G324">
        <f>F324*0.10</f>
        <v>0</v>
      </c>
    </row>
    <row r="325" spans="1:7">
      <c r="A325" s="2">
        <v>45687</v>
      </c>
      <c r="B325" t="s">
        <v>48</v>
      </c>
      <c r="C325" t="s">
        <v>23</v>
      </c>
      <c r="D325" t="s">
        <v>3</v>
      </c>
      <c r="E325" t="s">
        <v>55</v>
      </c>
      <c r="F325">
        <v>100</v>
      </c>
      <c r="G325">
        <f>F325*0.10</f>
        <v>0</v>
      </c>
    </row>
    <row r="326" spans="1:7">
      <c r="A326" s="2">
        <v>45687</v>
      </c>
      <c r="B326" t="s">
        <v>48</v>
      </c>
      <c r="C326" t="s">
        <v>31</v>
      </c>
      <c r="D326" t="s">
        <v>4</v>
      </c>
      <c r="E326" t="s">
        <v>54</v>
      </c>
      <c r="F326">
        <v>349</v>
      </c>
      <c r="G326">
        <f>F326*0.10</f>
        <v>0</v>
      </c>
    </row>
    <row r="327" spans="1:7">
      <c r="A327" s="2">
        <v>45687</v>
      </c>
      <c r="B327" t="s">
        <v>48</v>
      </c>
      <c r="C327" t="s">
        <v>23</v>
      </c>
      <c r="D327" t="s">
        <v>3</v>
      </c>
      <c r="E327" t="s">
        <v>55</v>
      </c>
      <c r="F327">
        <v>100</v>
      </c>
      <c r="G327">
        <f>F327*0.10</f>
        <v>0</v>
      </c>
    </row>
    <row r="328" spans="1:7">
      <c r="A328" s="2">
        <v>45687</v>
      </c>
      <c r="B328" t="s">
        <v>48</v>
      </c>
      <c r="C328" t="s">
        <v>31</v>
      </c>
      <c r="D328" t="s">
        <v>4</v>
      </c>
      <c r="E328" t="s">
        <v>54</v>
      </c>
      <c r="F328">
        <v>349</v>
      </c>
      <c r="G328">
        <f>F328*0.10</f>
        <v>0</v>
      </c>
    </row>
    <row r="329" spans="1:7">
      <c r="A329" s="2">
        <v>45687</v>
      </c>
      <c r="B329" t="s">
        <v>48</v>
      </c>
      <c r="C329" t="s">
        <v>6</v>
      </c>
      <c r="D329" t="s">
        <v>3</v>
      </c>
      <c r="E329" t="s">
        <v>55</v>
      </c>
      <c r="F329">
        <v>99</v>
      </c>
      <c r="G329">
        <f>F329*0.10</f>
        <v>0</v>
      </c>
    </row>
    <row r="330" spans="1:7">
      <c r="A330" s="2">
        <v>45687</v>
      </c>
      <c r="B330" t="s">
        <v>48</v>
      </c>
      <c r="C330" t="s">
        <v>12</v>
      </c>
      <c r="D330" t="s">
        <v>3</v>
      </c>
      <c r="E330" t="s">
        <v>55</v>
      </c>
      <c r="F330">
        <v>699</v>
      </c>
      <c r="G330">
        <f>F330*0.10</f>
        <v>0</v>
      </c>
    </row>
    <row r="331" spans="1:7">
      <c r="A331" s="2">
        <v>45687</v>
      </c>
      <c r="B331" t="s">
        <v>48</v>
      </c>
      <c r="C331" t="s">
        <v>23</v>
      </c>
      <c r="D331" t="s">
        <v>3</v>
      </c>
      <c r="E331" t="s">
        <v>56</v>
      </c>
      <c r="F331">
        <v>100</v>
      </c>
      <c r="G331">
        <f>F331*0.10</f>
        <v>0</v>
      </c>
    </row>
    <row r="332" spans="1:7">
      <c r="A332" s="2">
        <v>45687</v>
      </c>
      <c r="B332" t="s">
        <v>48</v>
      </c>
      <c r="C332" t="s">
        <v>6</v>
      </c>
      <c r="D332" t="s">
        <v>3</v>
      </c>
      <c r="E332" t="s">
        <v>55</v>
      </c>
      <c r="F332">
        <v>99</v>
      </c>
      <c r="G332">
        <f>F332*0.10</f>
        <v>0</v>
      </c>
    </row>
    <row r="333" spans="1:7">
      <c r="A333" s="2">
        <v>45687</v>
      </c>
      <c r="B333" t="s">
        <v>48</v>
      </c>
      <c r="C333" t="s">
        <v>7</v>
      </c>
      <c r="D333" t="s">
        <v>3</v>
      </c>
      <c r="E333" t="s">
        <v>55</v>
      </c>
      <c r="F333">
        <v>149</v>
      </c>
      <c r="G333">
        <f>F333*0.10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2">
      <c r="A1" t="s">
        <v>58</v>
      </c>
      <c r="B1" t="s">
        <v>59</v>
      </c>
    </row>
    <row r="2" spans="1:2">
      <c r="A2" t="s">
        <v>60</v>
      </c>
      <c r="B2">
        <f>SUM(Transactions!F:F)</f>
        <v>0</v>
      </c>
    </row>
    <row r="3" spans="1:2">
      <c r="A3" t="s">
        <v>61</v>
      </c>
      <c r="B3">
        <f>B2*Settings!$B$1</f>
        <v>0</v>
      </c>
    </row>
    <row r="4" spans="1:2">
      <c r="A4" t="s">
        <v>62</v>
      </c>
      <c r="B4">
        <f>Settings!$B$2+Settings!$B$3+Settings!$B$4</f>
        <v>0</v>
      </c>
    </row>
    <row r="5" spans="1:2">
      <c r="A5" t="s">
        <v>63</v>
      </c>
      <c r="B5">
        <f>SUMIF(Transactions!E:E,"Senior Stylist",Transactions!F:F)</f>
        <v>0</v>
      </c>
    </row>
    <row r="6" spans="1:2">
      <c r="A6" t="s">
        <v>64</v>
      </c>
      <c r="B6">
        <f>SUMIF(Transactions!E:E,"Junior Stylist",Transactions!F:F)</f>
        <v>0</v>
      </c>
    </row>
    <row r="7" spans="1:2">
      <c r="A7" t="s">
        <v>65</v>
      </c>
      <c r="B7">
        <f>SUMIF(Transactions!E:E,"Nail Tech",Transactions!F:F)</f>
        <v>0</v>
      </c>
    </row>
    <row r="8" spans="1:2">
      <c r="A8" t="s">
        <v>41</v>
      </c>
      <c r="B8">
        <f>Settings!$B$6</f>
        <v>0</v>
      </c>
    </row>
    <row r="9" spans="1:2">
      <c r="A9" t="s">
        <v>42</v>
      </c>
      <c r="B9">
        <f>Settings!$B$7</f>
        <v>0</v>
      </c>
    </row>
    <row r="10" spans="1:2">
      <c r="A10" t="s">
        <v>43</v>
      </c>
      <c r="B10">
        <f>Settings!$B$8</f>
        <v>0</v>
      </c>
    </row>
    <row r="11" spans="1:2">
      <c r="A11" t="s">
        <v>66</v>
      </c>
      <c r="B11">
        <f>IF(B5&lt;100000,0,2000+500*INT((B5-100000)/5000))</f>
        <v>0</v>
      </c>
    </row>
    <row r="12" spans="1:2">
      <c r="A12" t="s">
        <v>67</v>
      </c>
      <c r="B12">
        <f>IF(B6&lt;100000,0,2000+500*INT((B6-100000)/5000))</f>
        <v>0</v>
      </c>
    </row>
    <row r="13" spans="1:2">
      <c r="A13" t="s">
        <v>68</v>
      </c>
      <c r="B13">
        <f>IF(B7&lt;45000,0,1500+500*(1+INT((B7-45000)/5000)))</f>
        <v>0</v>
      </c>
    </row>
    <row r="14" spans="1:2">
      <c r="A14" t="s">
        <v>69</v>
      </c>
      <c r="B14">
        <f>SUMIF(Transactions!E:E,"Senior Stylist",Transactions!G:G)</f>
        <v>0</v>
      </c>
    </row>
    <row r="15" spans="1:2">
      <c r="A15" t="s">
        <v>70</v>
      </c>
      <c r="B15">
        <f>SUMIF(Transactions!E:E,"Junior Stylist",Transactions!G:G)</f>
        <v>0</v>
      </c>
    </row>
    <row r="16" spans="1:2">
      <c r="A16" t="s">
        <v>71</v>
      </c>
      <c r="B16">
        <f>SUMIF(Transactions!E:E,"Nail Tech",Transactions!G:G)</f>
        <v>0</v>
      </c>
    </row>
    <row r="17" spans="1:6">
      <c r="A17" t="s">
        <v>72</v>
      </c>
      <c r="B17">
        <f>B8+B9+B10+B11+B12+B13+B14+B15+B16</f>
        <v>0</v>
      </c>
    </row>
    <row r="18" spans="1:6">
      <c r="A18" t="s">
        <v>73</v>
      </c>
      <c r="B18">
        <f>B3+B4+B17</f>
        <v>0</v>
      </c>
    </row>
    <row r="19" spans="1:6">
      <c r="A19" t="s">
        <v>74</v>
      </c>
      <c r="B19">
        <f>B2-B18</f>
        <v>0</v>
      </c>
    </row>
    <row r="21" spans="1:6">
      <c r="A21" t="s">
        <v>46</v>
      </c>
      <c r="B21" t="s">
        <v>60</v>
      </c>
      <c r="C21" t="s">
        <v>75</v>
      </c>
      <c r="D21" t="s">
        <v>76</v>
      </c>
      <c r="E21" t="s">
        <v>77</v>
      </c>
      <c r="F21" t="s">
        <v>78</v>
      </c>
    </row>
    <row r="22" spans="1:6">
      <c r="A22" t="s">
        <v>55</v>
      </c>
      <c r="B22">
        <f>B5</f>
        <v>0</v>
      </c>
      <c r="C22">
        <f>B8</f>
        <v>0</v>
      </c>
      <c r="D22">
        <f>B11</f>
        <v>0</v>
      </c>
      <c r="E22">
        <f>B14</f>
        <v>0</v>
      </c>
      <c r="F22">
        <f>C22+D22+E22</f>
        <v>0</v>
      </c>
    </row>
    <row r="23" spans="1:6">
      <c r="A23" t="s">
        <v>56</v>
      </c>
      <c r="B23">
        <f>B6</f>
        <v>0</v>
      </c>
      <c r="C23">
        <f>B9</f>
        <v>0</v>
      </c>
      <c r="D23">
        <f>B12</f>
        <v>0</v>
      </c>
      <c r="E23">
        <f>B15</f>
        <v>0</v>
      </c>
      <c r="F23">
        <f>C23+D23+E23</f>
        <v>0</v>
      </c>
    </row>
    <row r="24" spans="1:6">
      <c r="A24" t="s">
        <v>54</v>
      </c>
      <c r="B24">
        <f>B7</f>
        <v>0</v>
      </c>
      <c r="C24">
        <f>B10</f>
        <v>0</v>
      </c>
      <c r="D24">
        <f>B13</f>
        <v>0</v>
      </c>
      <c r="E24">
        <f>B16</f>
        <v>0</v>
      </c>
      <c r="F24">
        <f>C24+D24+E24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PriceList</vt:lpstr>
      <vt:lpstr>Settings</vt:lpstr>
      <vt:lpstr>Transactions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2025-11-24T18:51:27Z</dcterms:created>
  <dcterms:modified xsi:type="dcterms:W3CDTF">2025-11-24T18:51:27Z</dcterms:modified>
</cp:coreProperties>
</file>