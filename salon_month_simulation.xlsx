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List" sheetId="1" r:id="rId1"/>
    <sheet name="Settings" sheetId="2" r:id="rId2"/>
    <sheet name="Transaction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<sst xmlns="http://schemas.openxmlformats.org/spreadsheetml/2006/main" count="1219" uniqueCount="73">
  <si>
    <t>Category</t>
  </si>
  <si>
    <t>Service</t>
  </si>
  <si>
    <t>Price</t>
  </si>
  <si>
    <t>Hair</t>
  </si>
  <si>
    <t>Nail</t>
  </si>
  <si>
    <t>Other</t>
  </si>
  <si>
    <t>Blowdry</t>
  </si>
  <si>
    <t>Haircut</t>
  </si>
  <si>
    <t>Iron</t>
  </si>
  <si>
    <t>Hair Spa</t>
  </si>
  <si>
    <t>Hair Botox Treatment</t>
  </si>
  <si>
    <t>Keratin Mask</t>
  </si>
  <si>
    <t>Color</t>
  </si>
  <si>
    <t>Rebond</t>
  </si>
  <si>
    <t>Rebond Hair Botox</t>
  </si>
  <si>
    <t>Rebond / Color</t>
  </si>
  <si>
    <t>Rebond / Color / Brazilian</t>
  </si>
  <si>
    <t>Kerabond</t>
  </si>
  <si>
    <t>Brazilian</t>
  </si>
  <si>
    <t>Brazilian / Botox</t>
  </si>
  <si>
    <t>Brazilian / Keratin</t>
  </si>
  <si>
    <t>LUXLISS Cysteine Treatment</t>
  </si>
  <si>
    <t>LUXLISS Smooth Wonder Treatment</t>
  </si>
  <si>
    <t>Highlights (per foil)</t>
  </si>
  <si>
    <t>Balayage / Color</t>
  </si>
  <si>
    <t>Manicure</t>
  </si>
  <si>
    <t>Pedicure</t>
  </si>
  <si>
    <t>Manicure / Pedicure</t>
  </si>
  <si>
    <t>Manicure / Pedicure / Foot Spa</t>
  </si>
  <si>
    <t>Foot Spa</t>
  </si>
  <si>
    <t>Foot Spa / Pedicure</t>
  </si>
  <si>
    <t>Manicure / Gel Polish</t>
  </si>
  <si>
    <t>Pedicure / Gel Polish</t>
  </si>
  <si>
    <t>Nails Extension Ordinary Polish</t>
  </si>
  <si>
    <t>Nails Extension Gel Polish</t>
  </si>
  <si>
    <t>Eyelash Extension</t>
  </si>
  <si>
    <t>Hair &amp; Make up (Wedding/Debut)</t>
  </si>
  <si>
    <t>Staff Share %</t>
  </si>
  <si>
    <t>Owner Share %</t>
  </si>
  <si>
    <t>Fixed Rent</t>
  </si>
  <si>
    <t>Electricity</t>
  </si>
  <si>
    <t>Water</t>
  </si>
  <si>
    <t>Product Cost % of Sales</t>
  </si>
  <si>
    <t>Nail Tech Min Monthly Wage</t>
  </si>
  <si>
    <t>Date</t>
  </si>
  <si>
    <t>Day</t>
  </si>
  <si>
    <t>Staff</t>
  </si>
  <si>
    <t>Wed</t>
  </si>
  <si>
    <t>Thu</t>
  </si>
  <si>
    <t>Fri</t>
  </si>
  <si>
    <t>Sat</t>
  </si>
  <si>
    <t>Sun</t>
  </si>
  <si>
    <t>Mon</t>
  </si>
  <si>
    <t>Tue</t>
  </si>
  <si>
    <t>Nail Tech</t>
  </si>
  <si>
    <t>Senior Stylist</t>
  </si>
  <si>
    <t>Junior Stylist</t>
  </si>
  <si>
    <t>Staff Share (40%)</t>
  </si>
  <si>
    <t>Owner Share (60%)</t>
  </si>
  <si>
    <t>Metric</t>
  </si>
  <si>
    <t>Amount (PHP)</t>
  </si>
  <si>
    <t>Total Sales</t>
  </si>
  <si>
    <t>Total Staff Salary (Commissions)</t>
  </si>
  <si>
    <t>Owner Gross Share</t>
  </si>
  <si>
    <t>Product Cost</t>
  </si>
  <si>
    <t>Fixed Salon Expenses (Rent+Utilities)</t>
  </si>
  <si>
    <t>Total Expenses</t>
  </si>
  <si>
    <t>Owner Net Income</t>
  </si>
  <si>
    <t>Nail Tech Min Monthly Wage (Setting)</t>
  </si>
  <si>
    <t>Nail Tech Commission (0%)</t>
  </si>
  <si>
    <t>Nail Tech Actual Pay</t>
  </si>
  <si>
    <t>Adjusted Total Staff Salary</t>
  </si>
  <si>
    <t>Commission (40%)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</si>
</sst>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99</v>
      </c>
    </row>
    <row r="3" spans="1:3">
      <c r="A3" t="s">
        <v>3</v>
      </c>
      <c r="B3" t="s">
        <v>7</v>
      </c>
      <c r="C3">
        <v>149</v>
      </c>
    </row>
    <row r="4" spans="1:3">
      <c r="A4" t="s">
        <v>3</v>
      </c>
      <c r="B4" t="s">
        <v>8</v>
      </c>
      <c r="C4">
        <v>199</v>
      </c>
    </row>
    <row r="5" spans="1:3">
      <c r="A5" t="s">
        <v>3</v>
      </c>
      <c r="B5" t="s">
        <v>9</v>
      </c>
      <c r="C5">
        <v>349</v>
      </c>
    </row>
    <row r="6" spans="1:3">
      <c r="A6" t="s">
        <v>3</v>
      </c>
      <c r="B6" t="s">
        <v>10</v>
      </c>
      <c r="C6">
        <v>499</v>
      </c>
    </row>
    <row r="7" spans="1:3">
      <c r="A7" t="s">
        <v>3</v>
      </c>
      <c r="B7" t="s">
        <v>11</v>
      </c>
      <c r="C7">
        <v>499</v>
      </c>
    </row>
    <row r="8" spans="1:3">
      <c r="A8" t="s">
        <v>3</v>
      </c>
      <c r="B8" t="s">
        <v>12</v>
      </c>
      <c r="C8">
        <v>699</v>
      </c>
    </row>
    <row r="9" spans="1:3">
      <c r="A9" t="s">
        <v>3</v>
      </c>
      <c r="B9" t="s">
        <v>13</v>
      </c>
      <c r="C9">
        <v>1499</v>
      </c>
    </row>
    <row r="10" spans="1:3">
      <c r="A10" t="s">
        <v>3</v>
      </c>
      <c r="B10" t="s">
        <v>14</v>
      </c>
      <c r="C10">
        <v>1999</v>
      </c>
    </row>
    <row r="11" spans="1:3">
      <c r="A11" t="s">
        <v>3</v>
      </c>
      <c r="B11" t="s">
        <v>15</v>
      </c>
      <c r="C11">
        <v>2199</v>
      </c>
    </row>
    <row r="12" spans="1:3">
      <c r="A12" t="s">
        <v>3</v>
      </c>
      <c r="B12" t="s">
        <v>16</v>
      </c>
      <c r="C12">
        <v>3199</v>
      </c>
    </row>
    <row r="13" spans="1:3">
      <c r="A13" t="s">
        <v>3</v>
      </c>
      <c r="B13" t="s">
        <v>17</v>
      </c>
      <c r="C13">
        <v>1999</v>
      </c>
    </row>
    <row r="14" spans="1:3">
      <c r="A14" t="s">
        <v>3</v>
      </c>
      <c r="B14" t="s">
        <v>18</v>
      </c>
      <c r="C14">
        <v>1499</v>
      </c>
    </row>
    <row r="15" spans="1:3">
      <c r="A15" t="s">
        <v>3</v>
      </c>
      <c r="B15" t="s">
        <v>19</v>
      </c>
      <c r="C15">
        <v>1499</v>
      </c>
    </row>
    <row r="16" spans="1:3">
      <c r="A16" t="s">
        <v>3</v>
      </c>
      <c r="B16" t="s">
        <v>20</v>
      </c>
      <c r="C16">
        <v>1499</v>
      </c>
    </row>
    <row r="17" spans="1:3">
      <c r="A17" t="s">
        <v>3</v>
      </c>
      <c r="B17" t="s">
        <v>21</v>
      </c>
      <c r="C17">
        <v>1999</v>
      </c>
    </row>
    <row r="18" spans="1:3">
      <c r="A18" t="s">
        <v>3</v>
      </c>
      <c r="B18" t="s">
        <v>22</v>
      </c>
      <c r="C18">
        <v>1999</v>
      </c>
    </row>
    <row r="19" spans="1:3">
      <c r="A19" t="s">
        <v>3</v>
      </c>
      <c r="B19" t="s">
        <v>23</v>
      </c>
      <c r="C19">
        <v>100</v>
      </c>
    </row>
    <row r="20" spans="1:3">
      <c r="A20" t="s">
        <v>3</v>
      </c>
      <c r="B20" t="s">
        <v>24</v>
      </c>
      <c r="C20">
        <v>2499</v>
      </c>
    </row>
    <row r="21" spans="1:3">
      <c r="A21" t="s">
        <v>4</v>
      </c>
      <c r="B21" t="s">
        <v>25</v>
      </c>
      <c r="C21">
        <v>119</v>
      </c>
    </row>
    <row r="22" spans="1:3">
      <c r="A22" t="s">
        <v>4</v>
      </c>
      <c r="B22" t="s">
        <v>26</v>
      </c>
      <c r="C22">
        <v>149</v>
      </c>
    </row>
    <row r="23" spans="1:3">
      <c r="A23" t="s">
        <v>4</v>
      </c>
      <c r="B23" t="s">
        <v>27</v>
      </c>
      <c r="C23">
        <v>269</v>
      </c>
    </row>
    <row r="24" spans="1:3">
      <c r="A24" t="s">
        <v>4</v>
      </c>
      <c r="B24" t="s">
        <v>28</v>
      </c>
      <c r="C24">
        <v>499</v>
      </c>
    </row>
    <row r="25" spans="1:3">
      <c r="A25" t="s">
        <v>4</v>
      </c>
      <c r="B25" t="s">
        <v>29</v>
      </c>
      <c r="C25">
        <v>299</v>
      </c>
    </row>
    <row r="26" spans="1:3">
      <c r="A26" t="s">
        <v>4</v>
      </c>
      <c r="B26" t="s">
        <v>30</v>
      </c>
      <c r="C26">
        <v>399</v>
      </c>
    </row>
    <row r="27" spans="1:3">
      <c r="A27" t="s">
        <v>4</v>
      </c>
      <c r="B27" t="s">
        <v>31</v>
      </c>
      <c r="C27">
        <v>349</v>
      </c>
    </row>
    <row r="28" spans="1:3">
      <c r="A28" t="s">
        <v>4</v>
      </c>
      <c r="B28" t="s">
        <v>32</v>
      </c>
      <c r="C28">
        <v>399</v>
      </c>
    </row>
    <row r="29" spans="1:3">
      <c r="A29" t="s">
        <v>4</v>
      </c>
      <c r="B29" t="s">
        <v>33</v>
      </c>
      <c r="C29">
        <v>399</v>
      </c>
    </row>
    <row r="30" spans="1:3">
      <c r="A30" t="s">
        <v>4</v>
      </c>
      <c r="B30" t="s">
        <v>34</v>
      </c>
      <c r="C30">
        <v>599</v>
      </c>
    </row>
    <row r="31" spans="1:3">
      <c r="A31" t="s">
        <v>5</v>
      </c>
      <c r="B31" t="s">
        <v>35</v>
      </c>
      <c r="C31">
        <v>399</v>
      </c>
    </row>
    <row r="32" spans="1:3">
      <c r="A32" t="s">
        <v>5</v>
      </c>
      <c r="B32" t="s">
        <v>36</v>
      </c>
      <c r="C32">
        <v>1499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37</v>
      </c>
      <c r="B1">
        <v>0.4</v>
      </c>
    </row>
    <row r="2" spans="1:2">
      <c r="A2" t="s">
        <v>38</v>
      </c>
      <c r="B2">
        <v>0.6</v>
      </c>
    </row>
    <row r="4" spans="1:2">
      <c r="A4" t="s">
        <v>39</v>
      </c>
      <c r="B4">
        <v>15000</v>
      </c>
    </row>
    <row r="5" spans="1:2">
      <c r="A5" t="s">
        <v>40</v>
      </c>
      <c r="B5">
        <v>5000</v>
      </c>
    </row>
    <row r="6" spans="1:2">
      <c r="A6" t="s">
        <v>41</v>
      </c>
      <c r="B6">
        <v>500</v>
      </c>
    </row>
    <row r="8" spans="1:2">
      <c r="A8" t="s">
        <v>42</v>
      </c>
      <c r="B8">
        <v>0.2</v>
      </c>
    </row>
    <row r="11" spans="1:2">
      <c r="A11" t="s">
        <v>43</v>
      </c>
      <c r="B11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1"/>
  <sheetViews>
    <sheetView workbookViewId="0"/>
  </sheetViews>
  <sheetFormatPr defaultRowHeight="15"/>
  <sheetData>
    <row r="1" spans="1:8">
      <c r="A1" s="1" t="s">
        <v>44</v>
      </c>
      <c r="B1" s="1" t="s">
        <v>45</v>
      </c>
      <c r="C1" s="1" t="s">
        <v>1</v>
      </c>
      <c r="D1" s="1" t="s">
        <v>0</v>
      </c>
      <c r="E1" s="1" t="s">
        <v>46</v>
      </c>
      <c r="F1" s="1" t="s">
        <v>2</v>
      </c>
      <c r="G1" t="s">
        <v>57</v>
      </c>
      <c r="H1" t="s">
        <v>58</v>
      </c>
    </row>
    <row r="2" spans="1:8">
      <c r="A2" s="2">
        <v>45658</v>
      </c>
      <c r="B2" t="s">
        <v>47</v>
      </c>
      <c r="C2" t="s">
        <v>25</v>
      </c>
      <c r="D2" t="s">
        <v>4</v>
      </c>
      <c r="E2" t="s">
        <v>54</v>
      </c>
      <c r="F2">
        <v>119</v>
      </c>
      <c r="G2">
        <f>IF(E2="Nail Tech",0,F2*Settings!$B$1)</f>
        <v>0</v>
      </c>
      <c r="H2">
        <f>IF(E2="Nail Tech",F2,F2*Settings!$B$2)</f>
        <v>0</v>
      </c>
    </row>
    <row r="3" spans="1:8">
      <c r="A3" s="2">
        <v>45658</v>
      </c>
      <c r="B3" t="s">
        <v>47</v>
      </c>
      <c r="C3" t="s">
        <v>29</v>
      </c>
      <c r="D3" t="s">
        <v>4</v>
      </c>
      <c r="E3" t="s">
        <v>54</v>
      </c>
      <c r="F3">
        <v>299</v>
      </c>
      <c r="G3">
        <f>IF(E3="Nail Tech",0,F3*Settings!$B$1)</f>
        <v>0</v>
      </c>
      <c r="H3">
        <f>IF(E3="Nail Tech",F3,F3*Settings!$B$2)</f>
        <v>0</v>
      </c>
    </row>
    <row r="4" spans="1:8">
      <c r="A4" s="2">
        <v>45658</v>
      </c>
      <c r="B4" t="s">
        <v>47</v>
      </c>
      <c r="C4" t="s">
        <v>6</v>
      </c>
      <c r="D4" t="s">
        <v>3</v>
      </c>
      <c r="E4" t="s">
        <v>55</v>
      </c>
      <c r="F4">
        <v>99</v>
      </c>
      <c r="G4">
        <f>IF(E4="Nail Tech",0,F4*Settings!$B$1)</f>
        <v>0</v>
      </c>
      <c r="H4">
        <f>IF(E4="Nail Tech",F4,F4*Settings!$B$2)</f>
        <v>0</v>
      </c>
    </row>
    <row r="5" spans="1:8">
      <c r="A5" s="2">
        <v>45658</v>
      </c>
      <c r="B5" t="s">
        <v>47</v>
      </c>
      <c r="C5" t="s">
        <v>6</v>
      </c>
      <c r="D5" t="s">
        <v>3</v>
      </c>
      <c r="E5" t="s">
        <v>56</v>
      </c>
      <c r="F5">
        <v>99</v>
      </c>
      <c r="G5">
        <f>IF(E5="Nail Tech",0,F5*Settings!$B$1)</f>
        <v>0</v>
      </c>
      <c r="H5">
        <f>IF(E5="Nail Tech",F5,F5*Settings!$B$2)</f>
        <v>0</v>
      </c>
    </row>
    <row r="6" spans="1:8">
      <c r="A6" s="2">
        <v>45658</v>
      </c>
      <c r="B6" t="s">
        <v>47</v>
      </c>
      <c r="C6" t="s">
        <v>18</v>
      </c>
      <c r="D6" t="s">
        <v>3</v>
      </c>
      <c r="E6" t="s">
        <v>56</v>
      </c>
      <c r="F6">
        <v>1499</v>
      </c>
      <c r="G6">
        <f>IF(E6="Nail Tech",0,F6*Settings!$B$1)</f>
        <v>0</v>
      </c>
      <c r="H6">
        <f>IF(E6="Nail Tech",F6,F6*Settings!$B$2)</f>
        <v>0</v>
      </c>
    </row>
    <row r="7" spans="1:8">
      <c r="A7" s="2">
        <v>45658</v>
      </c>
      <c r="B7" t="s">
        <v>47</v>
      </c>
      <c r="C7" t="s">
        <v>24</v>
      </c>
      <c r="D7" t="s">
        <v>3</v>
      </c>
      <c r="E7" t="s">
        <v>56</v>
      </c>
      <c r="F7">
        <v>2499</v>
      </c>
      <c r="G7">
        <f>IF(E7="Nail Tech",0,F7*Settings!$B$1)</f>
        <v>0</v>
      </c>
      <c r="H7">
        <f>IF(E7="Nail Tech",F7,F7*Settings!$B$2)</f>
        <v>0</v>
      </c>
    </row>
    <row r="8" spans="1:8">
      <c r="A8" s="2">
        <v>45658</v>
      </c>
      <c r="B8" t="s">
        <v>47</v>
      </c>
      <c r="C8" t="s">
        <v>6</v>
      </c>
      <c r="D8" t="s">
        <v>3</v>
      </c>
      <c r="E8" t="s">
        <v>55</v>
      </c>
      <c r="F8">
        <v>99</v>
      </c>
      <c r="G8">
        <f>IF(E8="Nail Tech",0,F8*Settings!$B$1)</f>
        <v>0</v>
      </c>
      <c r="H8">
        <f>IF(E8="Nail Tech",F8,F8*Settings!$B$2)</f>
        <v>0</v>
      </c>
    </row>
    <row r="9" spans="1:8">
      <c r="A9" s="2">
        <v>45658</v>
      </c>
      <c r="B9" t="s">
        <v>47</v>
      </c>
      <c r="C9" t="s">
        <v>8</v>
      </c>
      <c r="D9" t="s">
        <v>3</v>
      </c>
      <c r="E9" t="s">
        <v>55</v>
      </c>
      <c r="F9">
        <v>199</v>
      </c>
      <c r="G9">
        <f>IF(E9="Nail Tech",0,F9*Settings!$B$1)</f>
        <v>0</v>
      </c>
      <c r="H9">
        <f>IF(E9="Nail Tech",F9,F9*Settings!$B$2)</f>
        <v>0</v>
      </c>
    </row>
    <row r="10" spans="1:8">
      <c r="A10" s="2">
        <v>45658</v>
      </c>
      <c r="B10" t="s">
        <v>47</v>
      </c>
      <c r="C10" t="s">
        <v>26</v>
      </c>
      <c r="D10" t="s">
        <v>4</v>
      </c>
      <c r="E10" t="s">
        <v>54</v>
      </c>
      <c r="F10">
        <v>149</v>
      </c>
      <c r="G10">
        <f>IF(E10="Nail Tech",0,F10*Settings!$B$1)</f>
        <v>0</v>
      </c>
      <c r="H10">
        <f>IF(E10="Nail Tech",F10,F10*Settings!$B$2)</f>
        <v>0</v>
      </c>
    </row>
    <row r="11" spans="1:8">
      <c r="A11" s="2">
        <v>45658</v>
      </c>
      <c r="B11" t="s">
        <v>47</v>
      </c>
      <c r="C11" t="s">
        <v>11</v>
      </c>
      <c r="D11" t="s">
        <v>3</v>
      </c>
      <c r="E11" t="s">
        <v>55</v>
      </c>
      <c r="F11">
        <v>499</v>
      </c>
      <c r="G11">
        <f>IF(E11="Nail Tech",0,F11*Settings!$B$1)</f>
        <v>0</v>
      </c>
      <c r="H11">
        <f>IF(E11="Nail Tech",F11,F11*Settings!$B$2)</f>
        <v>0</v>
      </c>
    </row>
    <row r="12" spans="1:8">
      <c r="A12" s="2">
        <v>45658</v>
      </c>
      <c r="B12" t="s">
        <v>47</v>
      </c>
      <c r="C12" t="s">
        <v>27</v>
      </c>
      <c r="D12" t="s">
        <v>4</v>
      </c>
      <c r="E12" t="s">
        <v>54</v>
      </c>
      <c r="F12">
        <v>269</v>
      </c>
      <c r="G12">
        <f>IF(E12="Nail Tech",0,F12*Settings!$B$1)</f>
        <v>0</v>
      </c>
      <c r="H12">
        <f>IF(E12="Nail Tech",F12,F12*Settings!$B$2)</f>
        <v>0</v>
      </c>
    </row>
    <row r="13" spans="1:8">
      <c r="A13" s="2">
        <v>45659</v>
      </c>
      <c r="B13" t="s">
        <v>48</v>
      </c>
      <c r="C13" t="s">
        <v>33</v>
      </c>
      <c r="D13" t="s">
        <v>4</v>
      </c>
      <c r="E13" t="s">
        <v>54</v>
      </c>
      <c r="F13">
        <v>399</v>
      </c>
      <c r="G13">
        <f>IF(E13="Nail Tech",0,F13*Settings!$B$1)</f>
        <v>0</v>
      </c>
      <c r="H13">
        <f>IF(E13="Nail Tech",F13,F13*Settings!$B$2)</f>
        <v>0</v>
      </c>
    </row>
    <row r="14" spans="1:8">
      <c r="A14" s="2">
        <v>45659</v>
      </c>
      <c r="B14" t="s">
        <v>48</v>
      </c>
      <c r="C14" t="s">
        <v>6</v>
      </c>
      <c r="D14" t="s">
        <v>3</v>
      </c>
      <c r="E14" t="s">
        <v>56</v>
      </c>
      <c r="F14">
        <v>99</v>
      </c>
      <c r="G14">
        <f>IF(E14="Nail Tech",0,F14*Settings!$B$1)</f>
        <v>0</v>
      </c>
      <c r="H14">
        <f>IF(E14="Nail Tech",F14,F14*Settings!$B$2)</f>
        <v>0</v>
      </c>
    </row>
    <row r="15" spans="1:8">
      <c r="A15" s="2">
        <v>45659</v>
      </c>
      <c r="B15" t="s">
        <v>48</v>
      </c>
      <c r="C15" t="s">
        <v>7</v>
      </c>
      <c r="D15" t="s">
        <v>3</v>
      </c>
      <c r="E15" t="s">
        <v>55</v>
      </c>
      <c r="F15">
        <v>149</v>
      </c>
      <c r="G15">
        <f>IF(E15="Nail Tech",0,F15*Settings!$B$1)</f>
        <v>0</v>
      </c>
      <c r="H15">
        <f>IF(E15="Nail Tech",F15,F15*Settings!$B$2)</f>
        <v>0</v>
      </c>
    </row>
    <row r="16" spans="1:8">
      <c r="A16" s="2">
        <v>45659</v>
      </c>
      <c r="B16" t="s">
        <v>48</v>
      </c>
      <c r="C16" t="s">
        <v>26</v>
      </c>
      <c r="D16" t="s">
        <v>4</v>
      </c>
      <c r="E16" t="s">
        <v>54</v>
      </c>
      <c r="F16">
        <v>149</v>
      </c>
      <c r="G16">
        <f>IF(E16="Nail Tech",0,F16*Settings!$B$1)</f>
        <v>0</v>
      </c>
      <c r="H16">
        <f>IF(E16="Nail Tech",F16,F16*Settings!$B$2)</f>
        <v>0</v>
      </c>
    </row>
    <row r="17" spans="1:8">
      <c r="A17" s="2">
        <v>45659</v>
      </c>
      <c r="B17" t="s">
        <v>48</v>
      </c>
      <c r="C17" t="s">
        <v>15</v>
      </c>
      <c r="D17" t="s">
        <v>3</v>
      </c>
      <c r="E17" t="s">
        <v>55</v>
      </c>
      <c r="F17">
        <v>2199</v>
      </c>
      <c r="G17">
        <f>IF(E17="Nail Tech",0,F17*Settings!$B$1)</f>
        <v>0</v>
      </c>
      <c r="H17">
        <f>IF(E17="Nail Tech",F17,F17*Settings!$B$2)</f>
        <v>0</v>
      </c>
    </row>
    <row r="18" spans="1:8">
      <c r="A18" s="2">
        <v>45659</v>
      </c>
      <c r="B18" t="s">
        <v>48</v>
      </c>
      <c r="C18" t="s">
        <v>26</v>
      </c>
      <c r="D18" t="s">
        <v>4</v>
      </c>
      <c r="E18" t="s">
        <v>54</v>
      </c>
      <c r="F18">
        <v>149</v>
      </c>
      <c r="G18">
        <f>IF(E18="Nail Tech",0,F18*Settings!$B$1)</f>
        <v>0</v>
      </c>
      <c r="H18">
        <f>IF(E18="Nail Tech",F18,F18*Settings!$B$2)</f>
        <v>0</v>
      </c>
    </row>
    <row r="19" spans="1:8">
      <c r="A19" s="2">
        <v>45659</v>
      </c>
      <c r="B19" t="s">
        <v>48</v>
      </c>
      <c r="C19" t="s">
        <v>34</v>
      </c>
      <c r="D19" t="s">
        <v>4</v>
      </c>
      <c r="E19" t="s">
        <v>54</v>
      </c>
      <c r="F19">
        <v>599</v>
      </c>
      <c r="G19">
        <f>IF(E19="Nail Tech",0,F19*Settings!$B$1)</f>
        <v>0</v>
      </c>
      <c r="H19">
        <f>IF(E19="Nail Tech",F19,F19*Settings!$B$2)</f>
        <v>0</v>
      </c>
    </row>
    <row r="20" spans="1:8">
      <c r="A20" s="2">
        <v>45659</v>
      </c>
      <c r="B20" t="s">
        <v>48</v>
      </c>
      <c r="C20" t="s">
        <v>6</v>
      </c>
      <c r="D20" t="s">
        <v>3</v>
      </c>
      <c r="E20" t="s">
        <v>55</v>
      </c>
      <c r="F20">
        <v>99</v>
      </c>
      <c r="G20">
        <f>IF(E20="Nail Tech",0,F20*Settings!$B$1)</f>
        <v>0</v>
      </c>
      <c r="H20">
        <f>IF(E20="Nail Tech",F20,F20*Settings!$B$2)</f>
        <v>0</v>
      </c>
    </row>
    <row r="21" spans="1:8">
      <c r="A21" s="2">
        <v>45659</v>
      </c>
      <c r="B21" t="s">
        <v>48</v>
      </c>
      <c r="C21" t="s">
        <v>9</v>
      </c>
      <c r="D21" t="s">
        <v>3</v>
      </c>
      <c r="E21" t="s">
        <v>55</v>
      </c>
      <c r="F21">
        <v>349</v>
      </c>
      <c r="G21">
        <f>IF(E21="Nail Tech",0,F21*Settings!$B$1)</f>
        <v>0</v>
      </c>
      <c r="H21">
        <f>IF(E21="Nail Tech",F21,F21*Settings!$B$2)</f>
        <v>0</v>
      </c>
    </row>
    <row r="22" spans="1:8">
      <c r="A22" s="2">
        <v>45660</v>
      </c>
      <c r="B22" t="s">
        <v>49</v>
      </c>
      <c r="C22" t="s">
        <v>23</v>
      </c>
      <c r="D22" t="s">
        <v>3</v>
      </c>
      <c r="E22" t="s">
        <v>55</v>
      </c>
      <c r="F22">
        <v>100</v>
      </c>
      <c r="G22">
        <f>IF(E22="Nail Tech",0,F22*Settings!$B$1)</f>
        <v>0</v>
      </c>
      <c r="H22">
        <f>IF(E22="Nail Tech",F22,F22*Settings!$B$2)</f>
        <v>0</v>
      </c>
    </row>
    <row r="23" spans="1:8">
      <c r="A23" s="2">
        <v>45660</v>
      </c>
      <c r="B23" t="s">
        <v>49</v>
      </c>
      <c r="C23" t="s">
        <v>6</v>
      </c>
      <c r="D23" t="s">
        <v>3</v>
      </c>
      <c r="E23" t="s">
        <v>55</v>
      </c>
      <c r="F23">
        <v>99</v>
      </c>
      <c r="G23">
        <f>IF(E23="Nail Tech",0,F23*Settings!$B$1)</f>
        <v>0</v>
      </c>
      <c r="H23">
        <f>IF(E23="Nail Tech",F23,F23*Settings!$B$2)</f>
        <v>0</v>
      </c>
    </row>
    <row r="24" spans="1:8">
      <c r="A24" s="2">
        <v>45660</v>
      </c>
      <c r="B24" t="s">
        <v>49</v>
      </c>
      <c r="C24" t="s">
        <v>7</v>
      </c>
      <c r="D24" t="s">
        <v>3</v>
      </c>
      <c r="E24" t="s">
        <v>56</v>
      </c>
      <c r="F24">
        <v>149</v>
      </c>
      <c r="G24">
        <f>IF(E24="Nail Tech",0,F24*Settings!$B$1)</f>
        <v>0</v>
      </c>
      <c r="H24">
        <f>IF(E24="Nail Tech",F24,F24*Settings!$B$2)</f>
        <v>0</v>
      </c>
    </row>
    <row r="25" spans="1:8">
      <c r="A25" s="2">
        <v>45660</v>
      </c>
      <c r="B25" t="s">
        <v>49</v>
      </c>
      <c r="C25" t="s">
        <v>7</v>
      </c>
      <c r="D25" t="s">
        <v>3</v>
      </c>
      <c r="E25" t="s">
        <v>55</v>
      </c>
      <c r="F25">
        <v>149</v>
      </c>
      <c r="G25">
        <f>IF(E25="Nail Tech",0,F25*Settings!$B$1)</f>
        <v>0</v>
      </c>
      <c r="H25">
        <f>IF(E25="Nail Tech",F25,F25*Settings!$B$2)</f>
        <v>0</v>
      </c>
    </row>
    <row r="26" spans="1:8">
      <c r="A26" s="2">
        <v>45660</v>
      </c>
      <c r="B26" t="s">
        <v>49</v>
      </c>
      <c r="C26" t="s">
        <v>23</v>
      </c>
      <c r="D26" t="s">
        <v>3</v>
      </c>
      <c r="E26" t="s">
        <v>55</v>
      </c>
      <c r="F26">
        <v>100</v>
      </c>
      <c r="G26">
        <f>IF(E26="Nail Tech",0,F26*Settings!$B$1)</f>
        <v>0</v>
      </c>
      <c r="H26">
        <f>IF(E26="Nail Tech",F26,F26*Settings!$B$2)</f>
        <v>0</v>
      </c>
    </row>
    <row r="27" spans="1:8">
      <c r="A27" s="2">
        <v>45660</v>
      </c>
      <c r="B27" t="s">
        <v>49</v>
      </c>
      <c r="C27" t="s">
        <v>31</v>
      </c>
      <c r="D27" t="s">
        <v>4</v>
      </c>
      <c r="E27" t="s">
        <v>54</v>
      </c>
      <c r="F27">
        <v>349</v>
      </c>
      <c r="G27">
        <f>IF(E27="Nail Tech",0,F27*Settings!$B$1)</f>
        <v>0</v>
      </c>
      <c r="H27">
        <f>IF(E27="Nail Tech",F27,F27*Settings!$B$2)</f>
        <v>0</v>
      </c>
    </row>
    <row r="28" spans="1:8">
      <c r="A28" s="2">
        <v>45660</v>
      </c>
      <c r="B28" t="s">
        <v>49</v>
      </c>
      <c r="C28" t="s">
        <v>6</v>
      </c>
      <c r="D28" t="s">
        <v>3</v>
      </c>
      <c r="E28" t="s">
        <v>56</v>
      </c>
      <c r="F28">
        <v>99</v>
      </c>
      <c r="G28">
        <f>IF(E28="Nail Tech",0,F28*Settings!$B$1)</f>
        <v>0</v>
      </c>
      <c r="H28">
        <f>IF(E28="Nail Tech",F28,F28*Settings!$B$2)</f>
        <v>0</v>
      </c>
    </row>
    <row r="29" spans="1:8">
      <c r="A29" s="2">
        <v>45660</v>
      </c>
      <c r="B29" t="s">
        <v>49</v>
      </c>
      <c r="C29" t="s">
        <v>30</v>
      </c>
      <c r="D29" t="s">
        <v>4</v>
      </c>
      <c r="E29" t="s">
        <v>54</v>
      </c>
      <c r="F29">
        <v>399</v>
      </c>
      <c r="G29">
        <f>IF(E29="Nail Tech",0,F29*Settings!$B$1)</f>
        <v>0</v>
      </c>
      <c r="H29">
        <f>IF(E29="Nail Tech",F29,F29*Settings!$B$2)</f>
        <v>0</v>
      </c>
    </row>
    <row r="30" spans="1:8">
      <c r="A30" s="2">
        <v>45661</v>
      </c>
      <c r="B30" t="s">
        <v>50</v>
      </c>
      <c r="C30" t="s">
        <v>13</v>
      </c>
      <c r="D30" t="s">
        <v>3</v>
      </c>
      <c r="E30" t="s">
        <v>55</v>
      </c>
      <c r="F30">
        <v>1499</v>
      </c>
      <c r="G30">
        <f>IF(E30="Nail Tech",0,F30*Settings!$B$1)</f>
        <v>0</v>
      </c>
      <c r="H30">
        <f>IF(E30="Nail Tech",F30,F30*Settings!$B$2)</f>
        <v>0</v>
      </c>
    </row>
    <row r="31" spans="1:8">
      <c r="A31" s="2">
        <v>45661</v>
      </c>
      <c r="B31" t="s">
        <v>50</v>
      </c>
      <c r="C31" t="s">
        <v>6</v>
      </c>
      <c r="D31" t="s">
        <v>3</v>
      </c>
      <c r="E31" t="s">
        <v>55</v>
      </c>
      <c r="F31">
        <v>99</v>
      </c>
      <c r="G31">
        <f>IF(E31="Nail Tech",0,F31*Settings!$B$1)</f>
        <v>0</v>
      </c>
      <c r="H31">
        <f>IF(E31="Nail Tech",F31,F31*Settings!$B$2)</f>
        <v>0</v>
      </c>
    </row>
    <row r="32" spans="1:8">
      <c r="A32" s="2">
        <v>45661</v>
      </c>
      <c r="B32" t="s">
        <v>50</v>
      </c>
      <c r="C32" t="s">
        <v>10</v>
      </c>
      <c r="D32" t="s">
        <v>3</v>
      </c>
      <c r="E32" t="s">
        <v>55</v>
      </c>
      <c r="F32">
        <v>499</v>
      </c>
      <c r="G32">
        <f>IF(E32="Nail Tech",0,F32*Settings!$B$1)</f>
        <v>0</v>
      </c>
      <c r="H32">
        <f>IF(E32="Nail Tech",F32,F32*Settings!$B$2)</f>
        <v>0</v>
      </c>
    </row>
    <row r="33" spans="1:8">
      <c r="A33" s="2">
        <v>45661</v>
      </c>
      <c r="B33" t="s">
        <v>50</v>
      </c>
      <c r="C33" t="s">
        <v>23</v>
      </c>
      <c r="D33" t="s">
        <v>3</v>
      </c>
      <c r="E33" t="s">
        <v>56</v>
      </c>
      <c r="F33">
        <v>100</v>
      </c>
      <c r="G33">
        <f>IF(E33="Nail Tech",0,F33*Settings!$B$1)</f>
        <v>0</v>
      </c>
      <c r="H33">
        <f>IF(E33="Nail Tech",F33,F33*Settings!$B$2)</f>
        <v>0</v>
      </c>
    </row>
    <row r="34" spans="1:8">
      <c r="A34" s="2">
        <v>45661</v>
      </c>
      <c r="B34" t="s">
        <v>50</v>
      </c>
      <c r="C34" t="s">
        <v>32</v>
      </c>
      <c r="D34" t="s">
        <v>4</v>
      </c>
      <c r="E34" t="s">
        <v>54</v>
      </c>
      <c r="F34">
        <v>399</v>
      </c>
      <c r="G34">
        <f>IF(E34="Nail Tech",0,F34*Settings!$B$1)</f>
        <v>0</v>
      </c>
      <c r="H34">
        <f>IF(E34="Nail Tech",F34,F34*Settings!$B$2)</f>
        <v>0</v>
      </c>
    </row>
    <row r="35" spans="1:8">
      <c r="A35" s="2">
        <v>45662</v>
      </c>
      <c r="B35" t="s">
        <v>51</v>
      </c>
      <c r="C35" t="s">
        <v>28</v>
      </c>
      <c r="D35" t="s">
        <v>4</v>
      </c>
      <c r="E35" t="s">
        <v>54</v>
      </c>
      <c r="F35">
        <v>499</v>
      </c>
      <c r="G35">
        <f>IF(E35="Nail Tech",0,F35*Settings!$B$1)</f>
        <v>0</v>
      </c>
      <c r="H35">
        <f>IF(E35="Nail Tech",F35,F35*Settings!$B$2)</f>
        <v>0</v>
      </c>
    </row>
    <row r="36" spans="1:8">
      <c r="A36" s="2">
        <v>45662</v>
      </c>
      <c r="B36" t="s">
        <v>51</v>
      </c>
      <c r="C36" t="s">
        <v>27</v>
      </c>
      <c r="D36" t="s">
        <v>4</v>
      </c>
      <c r="E36" t="s">
        <v>54</v>
      </c>
      <c r="F36">
        <v>269</v>
      </c>
      <c r="G36">
        <f>IF(E36="Nail Tech",0,F36*Settings!$B$1)</f>
        <v>0</v>
      </c>
      <c r="H36">
        <f>IF(E36="Nail Tech",F36,F36*Settings!$B$2)</f>
        <v>0</v>
      </c>
    </row>
    <row r="37" spans="1:8">
      <c r="A37" s="2">
        <v>45662</v>
      </c>
      <c r="B37" t="s">
        <v>51</v>
      </c>
      <c r="C37" t="s">
        <v>8</v>
      </c>
      <c r="D37" t="s">
        <v>3</v>
      </c>
      <c r="E37" t="s">
        <v>55</v>
      </c>
      <c r="F37">
        <v>199</v>
      </c>
      <c r="G37">
        <f>IF(E37="Nail Tech",0,F37*Settings!$B$1)</f>
        <v>0</v>
      </c>
      <c r="H37">
        <f>IF(E37="Nail Tech",F37,F37*Settings!$B$2)</f>
        <v>0</v>
      </c>
    </row>
    <row r="38" spans="1:8">
      <c r="A38" s="2">
        <v>45662</v>
      </c>
      <c r="B38" t="s">
        <v>51</v>
      </c>
      <c r="C38" t="s">
        <v>6</v>
      </c>
      <c r="D38" t="s">
        <v>3</v>
      </c>
      <c r="E38" t="s">
        <v>56</v>
      </c>
      <c r="F38">
        <v>99</v>
      </c>
      <c r="G38">
        <f>IF(E38="Nail Tech",0,F38*Settings!$B$1)</f>
        <v>0</v>
      </c>
      <c r="H38">
        <f>IF(E38="Nail Tech",F38,F38*Settings!$B$2)</f>
        <v>0</v>
      </c>
    </row>
    <row r="39" spans="1:8">
      <c r="A39" s="2">
        <v>45662</v>
      </c>
      <c r="B39" t="s">
        <v>51</v>
      </c>
      <c r="C39" t="s">
        <v>9</v>
      </c>
      <c r="D39" t="s">
        <v>3</v>
      </c>
      <c r="E39" t="s">
        <v>56</v>
      </c>
      <c r="F39">
        <v>349</v>
      </c>
      <c r="G39">
        <f>IF(E39="Nail Tech",0,F39*Settings!$B$1)</f>
        <v>0</v>
      </c>
      <c r="H39">
        <f>IF(E39="Nail Tech",F39,F39*Settings!$B$2)</f>
        <v>0</v>
      </c>
    </row>
    <row r="40" spans="1:8">
      <c r="A40" s="2">
        <v>45662</v>
      </c>
      <c r="B40" t="s">
        <v>51</v>
      </c>
      <c r="C40" t="s">
        <v>8</v>
      </c>
      <c r="D40" t="s">
        <v>3</v>
      </c>
      <c r="E40" t="s">
        <v>56</v>
      </c>
      <c r="F40">
        <v>199</v>
      </c>
      <c r="G40">
        <f>IF(E40="Nail Tech",0,F40*Settings!$B$1)</f>
        <v>0</v>
      </c>
      <c r="H40">
        <f>IF(E40="Nail Tech",F40,F40*Settings!$B$2)</f>
        <v>0</v>
      </c>
    </row>
    <row r="41" spans="1:8">
      <c r="A41" s="2">
        <v>45662</v>
      </c>
      <c r="B41" t="s">
        <v>51</v>
      </c>
      <c r="C41" t="s">
        <v>6</v>
      </c>
      <c r="D41" t="s">
        <v>3</v>
      </c>
      <c r="E41" t="s">
        <v>55</v>
      </c>
      <c r="F41">
        <v>99</v>
      </c>
      <c r="G41">
        <f>IF(E41="Nail Tech",0,F41*Settings!$B$1)</f>
        <v>0</v>
      </c>
      <c r="H41">
        <f>IF(E41="Nail Tech",F41,F41*Settings!$B$2)</f>
        <v>0</v>
      </c>
    </row>
    <row r="42" spans="1:8">
      <c r="A42" s="2">
        <v>45663</v>
      </c>
      <c r="B42" t="s">
        <v>52</v>
      </c>
      <c r="C42" t="s">
        <v>8</v>
      </c>
      <c r="D42" t="s">
        <v>3</v>
      </c>
      <c r="E42" t="s">
        <v>55</v>
      </c>
      <c r="F42">
        <v>199</v>
      </c>
      <c r="G42">
        <f>IF(E42="Nail Tech",0,F42*Settings!$B$1)</f>
        <v>0</v>
      </c>
      <c r="H42">
        <f>IF(E42="Nail Tech",F42,F42*Settings!$B$2)</f>
        <v>0</v>
      </c>
    </row>
    <row r="43" spans="1:8">
      <c r="A43" s="2">
        <v>45663</v>
      </c>
      <c r="B43" t="s">
        <v>52</v>
      </c>
      <c r="C43" t="s">
        <v>16</v>
      </c>
      <c r="D43" t="s">
        <v>3</v>
      </c>
      <c r="E43" t="s">
        <v>55</v>
      </c>
      <c r="F43">
        <v>3199</v>
      </c>
      <c r="G43">
        <f>IF(E43="Nail Tech",0,F43*Settings!$B$1)</f>
        <v>0</v>
      </c>
      <c r="H43">
        <f>IF(E43="Nail Tech",F43,F43*Settings!$B$2)</f>
        <v>0</v>
      </c>
    </row>
    <row r="44" spans="1:8">
      <c r="A44" s="2">
        <v>45663</v>
      </c>
      <c r="B44" t="s">
        <v>52</v>
      </c>
      <c r="C44" t="s">
        <v>6</v>
      </c>
      <c r="D44" t="s">
        <v>3</v>
      </c>
      <c r="E44" t="s">
        <v>55</v>
      </c>
      <c r="F44">
        <v>99</v>
      </c>
      <c r="G44">
        <f>IF(E44="Nail Tech",0,F44*Settings!$B$1)</f>
        <v>0</v>
      </c>
      <c r="H44">
        <f>IF(E44="Nail Tech",F44,F44*Settings!$B$2)</f>
        <v>0</v>
      </c>
    </row>
    <row r="45" spans="1:8">
      <c r="A45" s="2">
        <v>45663</v>
      </c>
      <c r="B45" t="s">
        <v>52</v>
      </c>
      <c r="C45" t="s">
        <v>6</v>
      </c>
      <c r="D45" t="s">
        <v>3</v>
      </c>
      <c r="E45" t="s">
        <v>55</v>
      </c>
      <c r="F45">
        <v>99</v>
      </c>
      <c r="G45">
        <f>IF(E45="Nail Tech",0,F45*Settings!$B$1)</f>
        <v>0</v>
      </c>
      <c r="H45">
        <f>IF(E45="Nail Tech",F45,F45*Settings!$B$2)</f>
        <v>0</v>
      </c>
    </row>
    <row r="46" spans="1:8">
      <c r="A46" s="2">
        <v>45663</v>
      </c>
      <c r="B46" t="s">
        <v>52</v>
      </c>
      <c r="C46" t="s">
        <v>6</v>
      </c>
      <c r="D46" t="s">
        <v>3</v>
      </c>
      <c r="E46" t="s">
        <v>55</v>
      </c>
      <c r="F46">
        <v>99</v>
      </c>
      <c r="G46">
        <f>IF(E46="Nail Tech",0,F46*Settings!$B$1)</f>
        <v>0</v>
      </c>
      <c r="H46">
        <f>IF(E46="Nail Tech",F46,F46*Settings!$B$2)</f>
        <v>0</v>
      </c>
    </row>
    <row r="47" spans="1:8">
      <c r="A47" s="2">
        <v>45663</v>
      </c>
      <c r="B47" t="s">
        <v>52</v>
      </c>
      <c r="C47" t="s">
        <v>6</v>
      </c>
      <c r="D47" t="s">
        <v>3</v>
      </c>
      <c r="E47" t="s">
        <v>55</v>
      </c>
      <c r="F47">
        <v>99</v>
      </c>
      <c r="G47">
        <f>IF(E47="Nail Tech",0,F47*Settings!$B$1)</f>
        <v>0</v>
      </c>
      <c r="H47">
        <f>IF(E47="Nail Tech",F47,F47*Settings!$B$2)</f>
        <v>0</v>
      </c>
    </row>
    <row r="48" spans="1:8">
      <c r="A48" s="2">
        <v>45663</v>
      </c>
      <c r="B48" t="s">
        <v>52</v>
      </c>
      <c r="C48" t="s">
        <v>8</v>
      </c>
      <c r="D48" t="s">
        <v>3</v>
      </c>
      <c r="E48" t="s">
        <v>56</v>
      </c>
      <c r="F48">
        <v>199</v>
      </c>
      <c r="G48">
        <f>IF(E48="Nail Tech",0,F48*Settings!$B$1)</f>
        <v>0</v>
      </c>
      <c r="H48">
        <f>IF(E48="Nail Tech",F48,F48*Settings!$B$2)</f>
        <v>0</v>
      </c>
    </row>
    <row r="49" spans="1:8">
      <c r="A49" s="2">
        <v>45663</v>
      </c>
      <c r="B49" t="s">
        <v>52</v>
      </c>
      <c r="C49" t="s">
        <v>6</v>
      </c>
      <c r="D49" t="s">
        <v>3</v>
      </c>
      <c r="E49" t="s">
        <v>55</v>
      </c>
      <c r="F49">
        <v>99</v>
      </c>
      <c r="G49">
        <f>IF(E49="Nail Tech",0,F49*Settings!$B$1)</f>
        <v>0</v>
      </c>
      <c r="H49">
        <f>IF(E49="Nail Tech",F49,F49*Settings!$B$2)</f>
        <v>0</v>
      </c>
    </row>
    <row r="50" spans="1:8">
      <c r="A50" s="2">
        <v>45663</v>
      </c>
      <c r="B50" t="s">
        <v>52</v>
      </c>
      <c r="C50" t="s">
        <v>29</v>
      </c>
      <c r="D50" t="s">
        <v>4</v>
      </c>
      <c r="E50" t="s">
        <v>54</v>
      </c>
      <c r="F50">
        <v>299</v>
      </c>
      <c r="G50">
        <f>IF(E50="Nail Tech",0,F50*Settings!$B$1)</f>
        <v>0</v>
      </c>
      <c r="H50">
        <f>IF(E50="Nail Tech",F50,F50*Settings!$B$2)</f>
        <v>0</v>
      </c>
    </row>
    <row r="51" spans="1:8">
      <c r="A51" s="2">
        <v>45663</v>
      </c>
      <c r="B51" t="s">
        <v>52</v>
      </c>
      <c r="C51" t="s">
        <v>26</v>
      </c>
      <c r="D51" t="s">
        <v>4</v>
      </c>
      <c r="E51" t="s">
        <v>54</v>
      </c>
      <c r="F51">
        <v>149</v>
      </c>
      <c r="G51">
        <f>IF(E51="Nail Tech",0,F51*Settings!$B$1)</f>
        <v>0</v>
      </c>
      <c r="H51">
        <f>IF(E51="Nail Tech",F51,F51*Settings!$B$2)</f>
        <v>0</v>
      </c>
    </row>
    <row r="52" spans="1:8">
      <c r="A52" s="2">
        <v>45664</v>
      </c>
      <c r="B52" t="s">
        <v>53</v>
      </c>
      <c r="C52" t="s">
        <v>8</v>
      </c>
      <c r="D52" t="s">
        <v>3</v>
      </c>
      <c r="E52" t="s">
        <v>56</v>
      </c>
      <c r="F52">
        <v>199</v>
      </c>
      <c r="G52">
        <f>IF(E52="Nail Tech",0,F52*Settings!$B$1)</f>
        <v>0</v>
      </c>
      <c r="H52">
        <f>IF(E52="Nail Tech",F52,F52*Settings!$B$2)</f>
        <v>0</v>
      </c>
    </row>
    <row r="53" spans="1:8">
      <c r="A53" s="2">
        <v>45664</v>
      </c>
      <c r="B53" t="s">
        <v>53</v>
      </c>
      <c r="C53" t="s">
        <v>12</v>
      </c>
      <c r="D53" t="s">
        <v>3</v>
      </c>
      <c r="E53" t="s">
        <v>55</v>
      </c>
      <c r="F53">
        <v>699</v>
      </c>
      <c r="G53">
        <f>IF(E53="Nail Tech",0,F53*Settings!$B$1)</f>
        <v>0</v>
      </c>
      <c r="H53">
        <f>IF(E53="Nail Tech",F53,F53*Settings!$B$2)</f>
        <v>0</v>
      </c>
    </row>
    <row r="54" spans="1:8">
      <c r="A54" s="2">
        <v>45664</v>
      </c>
      <c r="B54" t="s">
        <v>53</v>
      </c>
      <c r="C54" t="s">
        <v>6</v>
      </c>
      <c r="D54" t="s">
        <v>3</v>
      </c>
      <c r="E54" t="s">
        <v>55</v>
      </c>
      <c r="F54">
        <v>99</v>
      </c>
      <c r="G54">
        <f>IF(E54="Nail Tech",0,F54*Settings!$B$1)</f>
        <v>0</v>
      </c>
      <c r="H54">
        <f>IF(E54="Nail Tech",F54,F54*Settings!$B$2)</f>
        <v>0</v>
      </c>
    </row>
    <row r="55" spans="1:8">
      <c r="A55" s="2">
        <v>45664</v>
      </c>
      <c r="B55" t="s">
        <v>53</v>
      </c>
      <c r="C55" t="s">
        <v>6</v>
      </c>
      <c r="D55" t="s">
        <v>3</v>
      </c>
      <c r="E55" t="s">
        <v>55</v>
      </c>
      <c r="F55">
        <v>99</v>
      </c>
      <c r="G55">
        <f>IF(E55="Nail Tech",0,F55*Settings!$B$1)</f>
        <v>0</v>
      </c>
      <c r="H55">
        <f>IF(E55="Nail Tech",F55,F55*Settings!$B$2)</f>
        <v>0</v>
      </c>
    </row>
    <row r="56" spans="1:8">
      <c r="A56" s="2">
        <v>45664</v>
      </c>
      <c r="B56" t="s">
        <v>53</v>
      </c>
      <c r="C56" t="s">
        <v>23</v>
      </c>
      <c r="D56" t="s">
        <v>3</v>
      </c>
      <c r="E56" t="s">
        <v>55</v>
      </c>
      <c r="F56">
        <v>100</v>
      </c>
      <c r="G56">
        <f>IF(E56="Nail Tech",0,F56*Settings!$B$1)</f>
        <v>0</v>
      </c>
      <c r="H56">
        <f>IF(E56="Nail Tech",F56,F56*Settings!$B$2)</f>
        <v>0</v>
      </c>
    </row>
    <row r="57" spans="1:8">
      <c r="A57" s="2">
        <v>45664</v>
      </c>
      <c r="B57" t="s">
        <v>53</v>
      </c>
      <c r="C57" t="s">
        <v>12</v>
      </c>
      <c r="D57" t="s">
        <v>3</v>
      </c>
      <c r="E57" t="s">
        <v>55</v>
      </c>
      <c r="F57">
        <v>699</v>
      </c>
      <c r="G57">
        <f>IF(E57="Nail Tech",0,F57*Settings!$B$1)</f>
        <v>0</v>
      </c>
      <c r="H57">
        <f>IF(E57="Nail Tech",F57,F57*Settings!$B$2)</f>
        <v>0</v>
      </c>
    </row>
    <row r="58" spans="1:8">
      <c r="A58" s="2">
        <v>45664</v>
      </c>
      <c r="B58" t="s">
        <v>53</v>
      </c>
      <c r="C58" t="s">
        <v>26</v>
      </c>
      <c r="D58" t="s">
        <v>4</v>
      </c>
      <c r="E58" t="s">
        <v>54</v>
      </c>
      <c r="F58">
        <v>149</v>
      </c>
      <c r="G58">
        <f>IF(E58="Nail Tech",0,F58*Settings!$B$1)</f>
        <v>0</v>
      </c>
      <c r="H58">
        <f>IF(E58="Nail Tech",F58,F58*Settings!$B$2)</f>
        <v>0</v>
      </c>
    </row>
    <row r="59" spans="1:8">
      <c r="A59" s="2">
        <v>45664</v>
      </c>
      <c r="B59" t="s">
        <v>53</v>
      </c>
      <c r="C59" t="s">
        <v>26</v>
      </c>
      <c r="D59" t="s">
        <v>4</v>
      </c>
      <c r="E59" t="s">
        <v>54</v>
      </c>
      <c r="F59">
        <v>149</v>
      </c>
      <c r="G59">
        <f>IF(E59="Nail Tech",0,F59*Settings!$B$1)</f>
        <v>0</v>
      </c>
      <c r="H59">
        <f>IF(E59="Nail Tech",F59,F59*Settings!$B$2)</f>
        <v>0</v>
      </c>
    </row>
    <row r="60" spans="1:8">
      <c r="A60" s="2">
        <v>45664</v>
      </c>
      <c r="B60" t="s">
        <v>53</v>
      </c>
      <c r="C60" t="s">
        <v>6</v>
      </c>
      <c r="D60" t="s">
        <v>3</v>
      </c>
      <c r="E60" t="s">
        <v>55</v>
      </c>
      <c r="F60">
        <v>99</v>
      </c>
      <c r="G60">
        <f>IF(E60="Nail Tech",0,F60*Settings!$B$1)</f>
        <v>0</v>
      </c>
      <c r="H60">
        <f>IF(E60="Nail Tech",F60,F60*Settings!$B$2)</f>
        <v>0</v>
      </c>
    </row>
    <row r="61" spans="1:8">
      <c r="A61" s="2">
        <v>45664</v>
      </c>
      <c r="B61" t="s">
        <v>53</v>
      </c>
      <c r="C61" t="s">
        <v>7</v>
      </c>
      <c r="D61" t="s">
        <v>3</v>
      </c>
      <c r="E61" t="s">
        <v>56</v>
      </c>
      <c r="F61">
        <v>149</v>
      </c>
      <c r="G61">
        <f>IF(E61="Nail Tech",0,F61*Settings!$B$1)</f>
        <v>0</v>
      </c>
      <c r="H61">
        <f>IF(E61="Nail Tech",F61,F61*Settings!$B$2)</f>
        <v>0</v>
      </c>
    </row>
    <row r="62" spans="1:8">
      <c r="A62" s="2">
        <v>45664</v>
      </c>
      <c r="B62" t="s">
        <v>53</v>
      </c>
      <c r="C62" t="s">
        <v>11</v>
      </c>
      <c r="D62" t="s">
        <v>3</v>
      </c>
      <c r="E62" t="s">
        <v>55</v>
      </c>
      <c r="F62">
        <v>499</v>
      </c>
      <c r="G62">
        <f>IF(E62="Nail Tech",0,F62*Settings!$B$1)</f>
        <v>0</v>
      </c>
      <c r="H62">
        <f>IF(E62="Nail Tech",F62,F62*Settings!$B$2)</f>
        <v>0</v>
      </c>
    </row>
    <row r="63" spans="1:8">
      <c r="A63" s="2">
        <v>45664</v>
      </c>
      <c r="B63" t="s">
        <v>53</v>
      </c>
      <c r="C63" t="s">
        <v>7</v>
      </c>
      <c r="D63" t="s">
        <v>3</v>
      </c>
      <c r="E63" t="s">
        <v>55</v>
      </c>
      <c r="F63">
        <v>149</v>
      </c>
      <c r="G63">
        <f>IF(E63="Nail Tech",0,F63*Settings!$B$1)</f>
        <v>0</v>
      </c>
      <c r="H63">
        <f>IF(E63="Nail Tech",F63,F63*Settings!$B$2)</f>
        <v>0</v>
      </c>
    </row>
    <row r="64" spans="1:8">
      <c r="A64" s="2">
        <v>45664</v>
      </c>
      <c r="B64" t="s">
        <v>53</v>
      </c>
      <c r="C64" t="s">
        <v>26</v>
      </c>
      <c r="D64" t="s">
        <v>4</v>
      </c>
      <c r="E64" t="s">
        <v>54</v>
      </c>
      <c r="F64">
        <v>149</v>
      </c>
      <c r="G64">
        <f>IF(E64="Nail Tech",0,F64*Settings!$B$1)</f>
        <v>0</v>
      </c>
      <c r="H64">
        <f>IF(E64="Nail Tech",F64,F64*Settings!$B$2)</f>
        <v>0</v>
      </c>
    </row>
    <row r="65" spans="1:8">
      <c r="A65" s="2">
        <v>45664</v>
      </c>
      <c r="B65" t="s">
        <v>53</v>
      </c>
      <c r="C65" t="s">
        <v>21</v>
      </c>
      <c r="D65" t="s">
        <v>3</v>
      </c>
      <c r="E65" t="s">
        <v>55</v>
      </c>
      <c r="F65">
        <v>1999</v>
      </c>
      <c r="G65">
        <f>IF(E65="Nail Tech",0,F65*Settings!$B$1)</f>
        <v>0</v>
      </c>
      <c r="H65">
        <f>IF(E65="Nail Tech",F65,F65*Settings!$B$2)</f>
        <v>0</v>
      </c>
    </row>
    <row r="66" spans="1:8">
      <c r="A66" s="2">
        <v>45665</v>
      </c>
      <c r="B66" t="s">
        <v>47</v>
      </c>
      <c r="C66" t="s">
        <v>23</v>
      </c>
      <c r="D66" t="s">
        <v>3</v>
      </c>
      <c r="E66" t="s">
        <v>55</v>
      </c>
      <c r="F66">
        <v>100</v>
      </c>
      <c r="G66">
        <f>IF(E66="Nail Tech",0,F66*Settings!$B$1)</f>
        <v>0</v>
      </c>
      <c r="H66">
        <f>IF(E66="Nail Tech",F66,F66*Settings!$B$2)</f>
        <v>0</v>
      </c>
    </row>
    <row r="67" spans="1:8">
      <c r="A67" s="2">
        <v>45665</v>
      </c>
      <c r="B67" t="s">
        <v>47</v>
      </c>
      <c r="C67" t="s">
        <v>23</v>
      </c>
      <c r="D67" t="s">
        <v>3</v>
      </c>
      <c r="E67" t="s">
        <v>55</v>
      </c>
      <c r="F67">
        <v>100</v>
      </c>
      <c r="G67">
        <f>IF(E67="Nail Tech",0,F67*Settings!$B$1)</f>
        <v>0</v>
      </c>
      <c r="H67">
        <f>IF(E67="Nail Tech",F67,F67*Settings!$B$2)</f>
        <v>0</v>
      </c>
    </row>
    <row r="68" spans="1:8">
      <c r="A68" s="2">
        <v>45665</v>
      </c>
      <c r="B68" t="s">
        <v>47</v>
      </c>
      <c r="C68" t="s">
        <v>24</v>
      </c>
      <c r="D68" t="s">
        <v>3</v>
      </c>
      <c r="E68" t="s">
        <v>56</v>
      </c>
      <c r="F68">
        <v>2499</v>
      </c>
      <c r="G68">
        <f>IF(E68="Nail Tech",0,F68*Settings!$B$1)</f>
        <v>0</v>
      </c>
      <c r="H68">
        <f>IF(E68="Nail Tech",F68,F68*Settings!$B$2)</f>
        <v>0</v>
      </c>
    </row>
    <row r="69" spans="1:8">
      <c r="A69" s="2">
        <v>45665</v>
      </c>
      <c r="B69" t="s">
        <v>47</v>
      </c>
      <c r="C69" t="s">
        <v>16</v>
      </c>
      <c r="D69" t="s">
        <v>3</v>
      </c>
      <c r="E69" t="s">
        <v>55</v>
      </c>
      <c r="F69">
        <v>3199</v>
      </c>
      <c r="G69">
        <f>IF(E69="Nail Tech",0,F69*Settings!$B$1)</f>
        <v>0</v>
      </c>
      <c r="H69">
        <f>IF(E69="Nail Tech",F69,F69*Settings!$B$2)</f>
        <v>0</v>
      </c>
    </row>
    <row r="70" spans="1:8">
      <c r="A70" s="2">
        <v>45665</v>
      </c>
      <c r="B70" t="s">
        <v>47</v>
      </c>
      <c r="C70" t="s">
        <v>19</v>
      </c>
      <c r="D70" t="s">
        <v>3</v>
      </c>
      <c r="E70" t="s">
        <v>55</v>
      </c>
      <c r="F70">
        <v>1499</v>
      </c>
      <c r="G70">
        <f>IF(E70="Nail Tech",0,F70*Settings!$B$1)</f>
        <v>0</v>
      </c>
      <c r="H70">
        <f>IF(E70="Nail Tech",F70,F70*Settings!$B$2)</f>
        <v>0</v>
      </c>
    </row>
    <row r="71" spans="1:8">
      <c r="A71" s="2">
        <v>45666</v>
      </c>
      <c r="B71" t="s">
        <v>48</v>
      </c>
      <c r="C71" t="s">
        <v>23</v>
      </c>
      <c r="D71" t="s">
        <v>3</v>
      </c>
      <c r="E71" t="s">
        <v>56</v>
      </c>
      <c r="F71">
        <v>100</v>
      </c>
      <c r="G71">
        <f>IF(E71="Nail Tech",0,F71*Settings!$B$1)</f>
        <v>0</v>
      </c>
      <c r="H71">
        <f>IF(E71="Nail Tech",F71,F71*Settings!$B$2)</f>
        <v>0</v>
      </c>
    </row>
    <row r="72" spans="1:8">
      <c r="A72" s="2">
        <v>45666</v>
      </c>
      <c r="B72" t="s">
        <v>48</v>
      </c>
      <c r="C72" t="s">
        <v>7</v>
      </c>
      <c r="D72" t="s">
        <v>3</v>
      </c>
      <c r="E72" t="s">
        <v>56</v>
      </c>
      <c r="F72">
        <v>149</v>
      </c>
      <c r="G72">
        <f>IF(E72="Nail Tech",0,F72*Settings!$B$1)</f>
        <v>0</v>
      </c>
      <c r="H72">
        <f>IF(E72="Nail Tech",F72,F72*Settings!$B$2)</f>
        <v>0</v>
      </c>
    </row>
    <row r="73" spans="1:8">
      <c r="A73" s="2">
        <v>45666</v>
      </c>
      <c r="B73" t="s">
        <v>48</v>
      </c>
      <c r="C73" t="s">
        <v>6</v>
      </c>
      <c r="D73" t="s">
        <v>3</v>
      </c>
      <c r="E73" t="s">
        <v>55</v>
      </c>
      <c r="F73">
        <v>99</v>
      </c>
      <c r="G73">
        <f>IF(E73="Nail Tech",0,F73*Settings!$B$1)</f>
        <v>0</v>
      </c>
      <c r="H73">
        <f>IF(E73="Nail Tech",F73,F73*Settings!$B$2)</f>
        <v>0</v>
      </c>
    </row>
    <row r="74" spans="1:8">
      <c r="A74" s="2">
        <v>45666</v>
      </c>
      <c r="B74" t="s">
        <v>48</v>
      </c>
      <c r="C74" t="s">
        <v>29</v>
      </c>
      <c r="D74" t="s">
        <v>4</v>
      </c>
      <c r="E74" t="s">
        <v>54</v>
      </c>
      <c r="F74">
        <v>299</v>
      </c>
      <c r="G74">
        <f>IF(E74="Nail Tech",0,F74*Settings!$B$1)</f>
        <v>0</v>
      </c>
      <c r="H74">
        <f>IF(E74="Nail Tech",F74,F74*Settings!$B$2)</f>
        <v>0</v>
      </c>
    </row>
    <row r="75" spans="1:8">
      <c r="A75" s="2">
        <v>45666</v>
      </c>
      <c r="B75" t="s">
        <v>48</v>
      </c>
      <c r="C75" t="s">
        <v>20</v>
      </c>
      <c r="D75" t="s">
        <v>3</v>
      </c>
      <c r="E75" t="s">
        <v>56</v>
      </c>
      <c r="F75">
        <v>1499</v>
      </c>
      <c r="G75">
        <f>IF(E75="Nail Tech",0,F75*Settings!$B$1)</f>
        <v>0</v>
      </c>
      <c r="H75">
        <f>IF(E75="Nail Tech",F75,F75*Settings!$B$2)</f>
        <v>0</v>
      </c>
    </row>
    <row r="76" spans="1:8">
      <c r="A76" s="2">
        <v>45666</v>
      </c>
      <c r="B76" t="s">
        <v>48</v>
      </c>
      <c r="C76" t="s">
        <v>26</v>
      </c>
      <c r="D76" t="s">
        <v>4</v>
      </c>
      <c r="E76" t="s">
        <v>54</v>
      </c>
      <c r="F76">
        <v>149</v>
      </c>
      <c r="G76">
        <f>IF(E76="Nail Tech",0,F76*Settings!$B$1)</f>
        <v>0</v>
      </c>
      <c r="H76">
        <f>IF(E76="Nail Tech",F76,F76*Settings!$B$2)</f>
        <v>0</v>
      </c>
    </row>
    <row r="77" spans="1:8">
      <c r="A77" s="2">
        <v>45666</v>
      </c>
      <c r="B77" t="s">
        <v>48</v>
      </c>
      <c r="C77" t="s">
        <v>12</v>
      </c>
      <c r="D77" t="s">
        <v>3</v>
      </c>
      <c r="E77" t="s">
        <v>55</v>
      </c>
      <c r="F77">
        <v>699</v>
      </c>
      <c r="G77">
        <f>IF(E77="Nail Tech",0,F77*Settings!$B$1)</f>
        <v>0</v>
      </c>
      <c r="H77">
        <f>IF(E77="Nail Tech",F77,F77*Settings!$B$2)</f>
        <v>0</v>
      </c>
    </row>
    <row r="78" spans="1:8">
      <c r="A78" s="2">
        <v>45666</v>
      </c>
      <c r="B78" t="s">
        <v>48</v>
      </c>
      <c r="C78" t="s">
        <v>6</v>
      </c>
      <c r="D78" t="s">
        <v>3</v>
      </c>
      <c r="E78" t="s">
        <v>55</v>
      </c>
      <c r="F78">
        <v>99</v>
      </c>
      <c r="G78">
        <f>IF(E78="Nail Tech",0,F78*Settings!$B$1)</f>
        <v>0</v>
      </c>
      <c r="H78">
        <f>IF(E78="Nail Tech",F78,F78*Settings!$B$2)</f>
        <v>0</v>
      </c>
    </row>
    <row r="79" spans="1:8">
      <c r="A79" s="2">
        <v>45666</v>
      </c>
      <c r="B79" t="s">
        <v>48</v>
      </c>
      <c r="C79" t="s">
        <v>6</v>
      </c>
      <c r="D79" t="s">
        <v>3</v>
      </c>
      <c r="E79" t="s">
        <v>56</v>
      </c>
      <c r="F79">
        <v>99</v>
      </c>
      <c r="G79">
        <f>IF(E79="Nail Tech",0,F79*Settings!$B$1)</f>
        <v>0</v>
      </c>
      <c r="H79">
        <f>IF(E79="Nail Tech",F79,F79*Settings!$B$2)</f>
        <v>0</v>
      </c>
    </row>
    <row r="80" spans="1:8">
      <c r="A80" s="2">
        <v>45666</v>
      </c>
      <c r="B80" t="s">
        <v>48</v>
      </c>
      <c r="C80" t="s">
        <v>29</v>
      </c>
      <c r="D80" t="s">
        <v>4</v>
      </c>
      <c r="E80" t="s">
        <v>54</v>
      </c>
      <c r="F80">
        <v>299</v>
      </c>
      <c r="G80">
        <f>IF(E80="Nail Tech",0,F80*Settings!$B$1)</f>
        <v>0</v>
      </c>
      <c r="H80">
        <f>IF(E80="Nail Tech",F80,F80*Settings!$B$2)</f>
        <v>0</v>
      </c>
    </row>
    <row r="81" spans="1:8">
      <c r="A81" s="2">
        <v>45666</v>
      </c>
      <c r="B81" t="s">
        <v>48</v>
      </c>
      <c r="C81" t="s">
        <v>6</v>
      </c>
      <c r="D81" t="s">
        <v>3</v>
      </c>
      <c r="E81" t="s">
        <v>55</v>
      </c>
      <c r="F81">
        <v>99</v>
      </c>
      <c r="G81">
        <f>IF(E81="Nail Tech",0,F81*Settings!$B$1)</f>
        <v>0</v>
      </c>
      <c r="H81">
        <f>IF(E81="Nail Tech",F81,F81*Settings!$B$2)</f>
        <v>0</v>
      </c>
    </row>
    <row r="82" spans="1:8">
      <c r="A82" s="2">
        <v>45666</v>
      </c>
      <c r="B82" t="s">
        <v>48</v>
      </c>
      <c r="C82" t="s">
        <v>31</v>
      </c>
      <c r="D82" t="s">
        <v>4</v>
      </c>
      <c r="E82" t="s">
        <v>54</v>
      </c>
      <c r="F82">
        <v>349</v>
      </c>
      <c r="G82">
        <f>IF(E82="Nail Tech",0,F82*Settings!$B$1)</f>
        <v>0</v>
      </c>
      <c r="H82">
        <f>IF(E82="Nail Tech",F82,F82*Settings!$B$2)</f>
        <v>0</v>
      </c>
    </row>
    <row r="83" spans="1:8">
      <c r="A83" s="2">
        <v>45666</v>
      </c>
      <c r="B83" t="s">
        <v>48</v>
      </c>
      <c r="C83" t="s">
        <v>19</v>
      </c>
      <c r="D83" t="s">
        <v>3</v>
      </c>
      <c r="E83" t="s">
        <v>56</v>
      </c>
      <c r="F83">
        <v>1499</v>
      </c>
      <c r="G83">
        <f>IF(E83="Nail Tech",0,F83*Settings!$B$1)</f>
        <v>0</v>
      </c>
      <c r="H83">
        <f>IF(E83="Nail Tech",F83,F83*Settings!$B$2)</f>
        <v>0</v>
      </c>
    </row>
    <row r="84" spans="1:8">
      <c r="A84" s="2">
        <v>45667</v>
      </c>
      <c r="B84" t="s">
        <v>49</v>
      </c>
      <c r="C84" t="s">
        <v>26</v>
      </c>
      <c r="D84" t="s">
        <v>4</v>
      </c>
      <c r="E84" t="s">
        <v>54</v>
      </c>
      <c r="F84">
        <v>149</v>
      </c>
      <c r="G84">
        <f>IF(E84="Nail Tech",0,F84*Settings!$B$1)</f>
        <v>0</v>
      </c>
      <c r="H84">
        <f>IF(E84="Nail Tech",F84,F84*Settings!$B$2)</f>
        <v>0</v>
      </c>
    </row>
    <row r="85" spans="1:8">
      <c r="A85" s="2">
        <v>45667</v>
      </c>
      <c r="B85" t="s">
        <v>49</v>
      </c>
      <c r="C85" t="s">
        <v>23</v>
      </c>
      <c r="D85" t="s">
        <v>3</v>
      </c>
      <c r="E85" t="s">
        <v>56</v>
      </c>
      <c r="F85">
        <v>100</v>
      </c>
      <c r="G85">
        <f>IF(E85="Nail Tech",0,F85*Settings!$B$1)</f>
        <v>0</v>
      </c>
      <c r="H85">
        <f>IF(E85="Nail Tech",F85,F85*Settings!$B$2)</f>
        <v>0</v>
      </c>
    </row>
    <row r="86" spans="1:8">
      <c r="A86" s="2">
        <v>45667</v>
      </c>
      <c r="B86" t="s">
        <v>49</v>
      </c>
      <c r="C86" t="s">
        <v>10</v>
      </c>
      <c r="D86" t="s">
        <v>3</v>
      </c>
      <c r="E86" t="s">
        <v>56</v>
      </c>
      <c r="F86">
        <v>499</v>
      </c>
      <c r="G86">
        <f>IF(E86="Nail Tech",0,F86*Settings!$B$1)</f>
        <v>0</v>
      </c>
      <c r="H86">
        <f>IF(E86="Nail Tech",F86,F86*Settings!$B$2)</f>
        <v>0</v>
      </c>
    </row>
    <row r="87" spans="1:8">
      <c r="A87" s="2">
        <v>45667</v>
      </c>
      <c r="B87" t="s">
        <v>49</v>
      </c>
      <c r="C87" t="s">
        <v>12</v>
      </c>
      <c r="D87" t="s">
        <v>3</v>
      </c>
      <c r="E87" t="s">
        <v>56</v>
      </c>
      <c r="F87">
        <v>699</v>
      </c>
      <c r="G87">
        <f>IF(E87="Nail Tech",0,F87*Settings!$B$1)</f>
        <v>0</v>
      </c>
      <c r="H87">
        <f>IF(E87="Nail Tech",F87,F87*Settings!$B$2)</f>
        <v>0</v>
      </c>
    </row>
    <row r="88" spans="1:8">
      <c r="A88" s="2">
        <v>45667</v>
      </c>
      <c r="B88" t="s">
        <v>49</v>
      </c>
      <c r="C88" t="s">
        <v>25</v>
      </c>
      <c r="D88" t="s">
        <v>4</v>
      </c>
      <c r="E88" t="s">
        <v>54</v>
      </c>
      <c r="F88">
        <v>119</v>
      </c>
      <c r="G88">
        <f>IF(E88="Nail Tech",0,F88*Settings!$B$1)</f>
        <v>0</v>
      </c>
      <c r="H88">
        <f>IF(E88="Nail Tech",F88,F88*Settings!$B$2)</f>
        <v>0</v>
      </c>
    </row>
    <row r="89" spans="1:8">
      <c r="A89" s="2">
        <v>45667</v>
      </c>
      <c r="B89" t="s">
        <v>49</v>
      </c>
      <c r="C89" t="s">
        <v>24</v>
      </c>
      <c r="D89" t="s">
        <v>3</v>
      </c>
      <c r="E89" t="s">
        <v>55</v>
      </c>
      <c r="F89">
        <v>2499</v>
      </c>
      <c r="G89">
        <f>IF(E89="Nail Tech",0,F89*Settings!$B$1)</f>
        <v>0</v>
      </c>
      <c r="H89">
        <f>IF(E89="Nail Tech",F89,F89*Settings!$B$2)</f>
        <v>0</v>
      </c>
    </row>
    <row r="90" spans="1:8">
      <c r="A90" s="2">
        <v>45668</v>
      </c>
      <c r="B90" t="s">
        <v>50</v>
      </c>
      <c r="C90" t="s">
        <v>23</v>
      </c>
      <c r="D90" t="s">
        <v>3</v>
      </c>
      <c r="E90" t="s">
        <v>55</v>
      </c>
      <c r="F90">
        <v>100</v>
      </c>
      <c r="G90">
        <f>IF(E90="Nail Tech",0,F90*Settings!$B$1)</f>
        <v>0</v>
      </c>
      <c r="H90">
        <f>IF(E90="Nail Tech",F90,F90*Settings!$B$2)</f>
        <v>0</v>
      </c>
    </row>
    <row r="91" spans="1:8">
      <c r="A91" s="2">
        <v>45668</v>
      </c>
      <c r="B91" t="s">
        <v>50</v>
      </c>
      <c r="C91" t="s">
        <v>6</v>
      </c>
      <c r="D91" t="s">
        <v>3</v>
      </c>
      <c r="E91" t="s">
        <v>55</v>
      </c>
      <c r="F91">
        <v>99</v>
      </c>
      <c r="G91">
        <f>IF(E91="Nail Tech",0,F91*Settings!$B$1)</f>
        <v>0</v>
      </c>
      <c r="H91">
        <f>IF(E91="Nail Tech",F91,F91*Settings!$B$2)</f>
        <v>0</v>
      </c>
    </row>
    <row r="92" spans="1:8">
      <c r="A92" s="2">
        <v>45668</v>
      </c>
      <c r="B92" t="s">
        <v>50</v>
      </c>
      <c r="C92" t="s">
        <v>8</v>
      </c>
      <c r="D92" t="s">
        <v>3</v>
      </c>
      <c r="E92" t="s">
        <v>55</v>
      </c>
      <c r="F92">
        <v>199</v>
      </c>
      <c r="G92">
        <f>IF(E92="Nail Tech",0,F92*Settings!$B$1)</f>
        <v>0</v>
      </c>
      <c r="H92">
        <f>IF(E92="Nail Tech",F92,F92*Settings!$B$2)</f>
        <v>0</v>
      </c>
    </row>
    <row r="93" spans="1:8">
      <c r="A93" s="2">
        <v>45668</v>
      </c>
      <c r="B93" t="s">
        <v>50</v>
      </c>
      <c r="C93" t="s">
        <v>33</v>
      </c>
      <c r="D93" t="s">
        <v>4</v>
      </c>
      <c r="E93" t="s">
        <v>54</v>
      </c>
      <c r="F93">
        <v>399</v>
      </c>
      <c r="G93">
        <f>IF(E93="Nail Tech",0,F93*Settings!$B$1)</f>
        <v>0</v>
      </c>
      <c r="H93">
        <f>IF(E93="Nail Tech",F93,F93*Settings!$B$2)</f>
        <v>0</v>
      </c>
    </row>
    <row r="94" spans="1:8">
      <c r="A94" s="2">
        <v>45668</v>
      </c>
      <c r="B94" t="s">
        <v>50</v>
      </c>
      <c r="C94" t="s">
        <v>6</v>
      </c>
      <c r="D94" t="s">
        <v>3</v>
      </c>
      <c r="E94" t="s">
        <v>56</v>
      </c>
      <c r="F94">
        <v>99</v>
      </c>
      <c r="G94">
        <f>IF(E94="Nail Tech",0,F94*Settings!$B$1)</f>
        <v>0</v>
      </c>
      <c r="H94">
        <f>IF(E94="Nail Tech",F94,F94*Settings!$B$2)</f>
        <v>0</v>
      </c>
    </row>
    <row r="95" spans="1:8">
      <c r="A95" s="2">
        <v>45668</v>
      </c>
      <c r="B95" t="s">
        <v>50</v>
      </c>
      <c r="C95" t="s">
        <v>7</v>
      </c>
      <c r="D95" t="s">
        <v>3</v>
      </c>
      <c r="E95" t="s">
        <v>55</v>
      </c>
      <c r="F95">
        <v>149</v>
      </c>
      <c r="G95">
        <f>IF(E95="Nail Tech",0,F95*Settings!$B$1)</f>
        <v>0</v>
      </c>
      <c r="H95">
        <f>IF(E95="Nail Tech",F95,F95*Settings!$B$2)</f>
        <v>0</v>
      </c>
    </row>
    <row r="96" spans="1:8">
      <c r="A96" s="2">
        <v>45668</v>
      </c>
      <c r="B96" t="s">
        <v>50</v>
      </c>
      <c r="C96" t="s">
        <v>23</v>
      </c>
      <c r="D96" t="s">
        <v>3</v>
      </c>
      <c r="E96" t="s">
        <v>55</v>
      </c>
      <c r="F96">
        <v>100</v>
      </c>
      <c r="G96">
        <f>IF(E96="Nail Tech",0,F96*Settings!$B$1)</f>
        <v>0</v>
      </c>
      <c r="H96">
        <f>IF(E96="Nail Tech",F96,F96*Settings!$B$2)</f>
        <v>0</v>
      </c>
    </row>
    <row r="97" spans="1:8">
      <c r="A97" s="2">
        <v>45668</v>
      </c>
      <c r="B97" t="s">
        <v>50</v>
      </c>
      <c r="C97" t="s">
        <v>28</v>
      </c>
      <c r="D97" t="s">
        <v>4</v>
      </c>
      <c r="E97" t="s">
        <v>54</v>
      </c>
      <c r="F97">
        <v>499</v>
      </c>
      <c r="G97">
        <f>IF(E97="Nail Tech",0,F97*Settings!$B$1)</f>
        <v>0</v>
      </c>
      <c r="H97">
        <f>IF(E97="Nail Tech",F97,F97*Settings!$B$2)</f>
        <v>0</v>
      </c>
    </row>
    <row r="98" spans="1:8">
      <c r="A98" s="2">
        <v>45668</v>
      </c>
      <c r="B98" t="s">
        <v>50</v>
      </c>
      <c r="C98" t="s">
        <v>8</v>
      </c>
      <c r="D98" t="s">
        <v>3</v>
      </c>
      <c r="E98" t="s">
        <v>55</v>
      </c>
      <c r="F98">
        <v>199</v>
      </c>
      <c r="G98">
        <f>IF(E98="Nail Tech",0,F98*Settings!$B$1)</f>
        <v>0</v>
      </c>
      <c r="H98">
        <f>IF(E98="Nail Tech",F98,F98*Settings!$B$2)</f>
        <v>0</v>
      </c>
    </row>
    <row r="99" spans="1:8">
      <c r="A99" s="2">
        <v>45669</v>
      </c>
      <c r="B99" t="s">
        <v>51</v>
      </c>
      <c r="C99" t="s">
        <v>9</v>
      </c>
      <c r="D99" t="s">
        <v>3</v>
      </c>
      <c r="E99" t="s">
        <v>56</v>
      </c>
      <c r="F99">
        <v>349</v>
      </c>
      <c r="G99">
        <f>IF(E99="Nail Tech",0,F99*Settings!$B$1)</f>
        <v>0</v>
      </c>
      <c r="H99">
        <f>IF(E99="Nail Tech",F99,F99*Settings!$B$2)</f>
        <v>0</v>
      </c>
    </row>
    <row r="100" spans="1:8">
      <c r="A100" s="2">
        <v>45669</v>
      </c>
      <c r="B100" t="s">
        <v>51</v>
      </c>
      <c r="C100" t="s">
        <v>11</v>
      </c>
      <c r="D100" t="s">
        <v>3</v>
      </c>
      <c r="E100" t="s">
        <v>55</v>
      </c>
      <c r="F100">
        <v>499</v>
      </c>
      <c r="G100">
        <f>IF(E100="Nail Tech",0,F100*Settings!$B$1)</f>
        <v>0</v>
      </c>
      <c r="H100">
        <f>IF(E100="Nail Tech",F100,F100*Settings!$B$2)</f>
        <v>0</v>
      </c>
    </row>
    <row r="101" spans="1:8">
      <c r="A101" s="2">
        <v>45669</v>
      </c>
      <c r="B101" t="s">
        <v>51</v>
      </c>
      <c r="C101" t="s">
        <v>6</v>
      </c>
      <c r="D101" t="s">
        <v>3</v>
      </c>
      <c r="E101" t="s">
        <v>55</v>
      </c>
      <c r="F101">
        <v>99</v>
      </c>
      <c r="G101">
        <f>IF(E101="Nail Tech",0,F101*Settings!$B$1)</f>
        <v>0</v>
      </c>
      <c r="H101">
        <f>IF(E101="Nail Tech",F101,F101*Settings!$B$2)</f>
        <v>0</v>
      </c>
    </row>
    <row r="102" spans="1:8">
      <c r="A102" s="2">
        <v>45669</v>
      </c>
      <c r="B102" t="s">
        <v>51</v>
      </c>
      <c r="C102" t="s">
        <v>19</v>
      </c>
      <c r="D102" t="s">
        <v>3</v>
      </c>
      <c r="E102" t="s">
        <v>56</v>
      </c>
      <c r="F102">
        <v>1499</v>
      </c>
      <c r="G102">
        <f>IF(E102="Nail Tech",0,F102*Settings!$B$1)</f>
        <v>0</v>
      </c>
      <c r="H102">
        <f>IF(E102="Nail Tech",F102,F102*Settings!$B$2)</f>
        <v>0</v>
      </c>
    </row>
    <row r="103" spans="1:8">
      <c r="A103" s="2">
        <v>45669</v>
      </c>
      <c r="B103" t="s">
        <v>51</v>
      </c>
      <c r="C103" t="s">
        <v>9</v>
      </c>
      <c r="D103" t="s">
        <v>3</v>
      </c>
      <c r="E103" t="s">
        <v>55</v>
      </c>
      <c r="F103">
        <v>349</v>
      </c>
      <c r="G103">
        <f>IF(E103="Nail Tech",0,F103*Settings!$B$1)</f>
        <v>0</v>
      </c>
      <c r="H103">
        <f>IF(E103="Nail Tech",F103,F103*Settings!$B$2)</f>
        <v>0</v>
      </c>
    </row>
    <row r="104" spans="1:8">
      <c r="A104" s="2">
        <v>45669</v>
      </c>
      <c r="B104" t="s">
        <v>51</v>
      </c>
      <c r="C104" t="s">
        <v>23</v>
      </c>
      <c r="D104" t="s">
        <v>3</v>
      </c>
      <c r="E104" t="s">
        <v>55</v>
      </c>
      <c r="F104">
        <v>100</v>
      </c>
      <c r="G104">
        <f>IF(E104="Nail Tech",0,F104*Settings!$B$1)</f>
        <v>0</v>
      </c>
      <c r="H104">
        <f>IF(E104="Nail Tech",F104,F104*Settings!$B$2)</f>
        <v>0</v>
      </c>
    </row>
    <row r="105" spans="1:8">
      <c r="A105" s="2">
        <v>45669</v>
      </c>
      <c r="B105" t="s">
        <v>51</v>
      </c>
      <c r="C105" t="s">
        <v>23</v>
      </c>
      <c r="D105" t="s">
        <v>3</v>
      </c>
      <c r="E105" t="s">
        <v>56</v>
      </c>
      <c r="F105">
        <v>100</v>
      </c>
      <c r="G105">
        <f>IF(E105="Nail Tech",0,F105*Settings!$B$1)</f>
        <v>0</v>
      </c>
      <c r="H105">
        <f>IF(E105="Nail Tech",F105,F105*Settings!$B$2)</f>
        <v>0</v>
      </c>
    </row>
    <row r="106" spans="1:8">
      <c r="A106" s="2">
        <v>45669</v>
      </c>
      <c r="B106" t="s">
        <v>51</v>
      </c>
      <c r="C106" t="s">
        <v>8</v>
      </c>
      <c r="D106" t="s">
        <v>3</v>
      </c>
      <c r="E106" t="s">
        <v>55</v>
      </c>
      <c r="F106">
        <v>199</v>
      </c>
      <c r="G106">
        <f>IF(E106="Nail Tech",0,F106*Settings!$B$1)</f>
        <v>0</v>
      </c>
      <c r="H106">
        <f>IF(E106="Nail Tech",F106,F106*Settings!$B$2)</f>
        <v>0</v>
      </c>
    </row>
    <row r="107" spans="1:8">
      <c r="A107" s="2">
        <v>45669</v>
      </c>
      <c r="B107" t="s">
        <v>51</v>
      </c>
      <c r="C107" t="s">
        <v>26</v>
      </c>
      <c r="D107" t="s">
        <v>4</v>
      </c>
      <c r="E107" t="s">
        <v>54</v>
      </c>
      <c r="F107">
        <v>149</v>
      </c>
      <c r="G107">
        <f>IF(E107="Nail Tech",0,F107*Settings!$B$1)</f>
        <v>0</v>
      </c>
      <c r="H107">
        <f>IF(E107="Nail Tech",F107,F107*Settings!$B$2)</f>
        <v>0</v>
      </c>
    </row>
    <row r="108" spans="1:8">
      <c r="A108" s="2">
        <v>45669</v>
      </c>
      <c r="B108" t="s">
        <v>51</v>
      </c>
      <c r="C108" t="s">
        <v>31</v>
      </c>
      <c r="D108" t="s">
        <v>4</v>
      </c>
      <c r="E108" t="s">
        <v>54</v>
      </c>
      <c r="F108">
        <v>349</v>
      </c>
      <c r="G108">
        <f>IF(E108="Nail Tech",0,F108*Settings!$B$1)</f>
        <v>0</v>
      </c>
      <c r="H108">
        <f>IF(E108="Nail Tech",F108,F108*Settings!$B$2)</f>
        <v>0</v>
      </c>
    </row>
    <row r="109" spans="1:8">
      <c r="A109" s="2">
        <v>45669</v>
      </c>
      <c r="B109" t="s">
        <v>51</v>
      </c>
      <c r="C109" t="s">
        <v>27</v>
      </c>
      <c r="D109" t="s">
        <v>4</v>
      </c>
      <c r="E109" t="s">
        <v>54</v>
      </c>
      <c r="F109">
        <v>269</v>
      </c>
      <c r="G109">
        <f>IF(E109="Nail Tech",0,F109*Settings!$B$1)</f>
        <v>0</v>
      </c>
      <c r="H109">
        <f>IF(E109="Nail Tech",F109,F109*Settings!$B$2)</f>
        <v>0</v>
      </c>
    </row>
    <row r="110" spans="1:8">
      <c r="A110" s="2">
        <v>45669</v>
      </c>
      <c r="B110" t="s">
        <v>51</v>
      </c>
      <c r="C110" t="s">
        <v>11</v>
      </c>
      <c r="D110" t="s">
        <v>3</v>
      </c>
      <c r="E110" t="s">
        <v>55</v>
      </c>
      <c r="F110">
        <v>499</v>
      </c>
      <c r="G110">
        <f>IF(E110="Nail Tech",0,F110*Settings!$B$1)</f>
        <v>0</v>
      </c>
      <c r="H110">
        <f>IF(E110="Nail Tech",F110,F110*Settings!$B$2)</f>
        <v>0</v>
      </c>
    </row>
    <row r="111" spans="1:8">
      <c r="A111" s="2">
        <v>45670</v>
      </c>
      <c r="B111" t="s">
        <v>52</v>
      </c>
      <c r="C111" t="s">
        <v>11</v>
      </c>
      <c r="D111" t="s">
        <v>3</v>
      </c>
      <c r="E111" t="s">
        <v>56</v>
      </c>
      <c r="F111">
        <v>499</v>
      </c>
      <c r="G111">
        <f>IF(E111="Nail Tech",0,F111*Settings!$B$1)</f>
        <v>0</v>
      </c>
      <c r="H111">
        <f>IF(E111="Nail Tech",F111,F111*Settings!$B$2)</f>
        <v>0</v>
      </c>
    </row>
    <row r="112" spans="1:8">
      <c r="A112" s="2">
        <v>45670</v>
      </c>
      <c r="B112" t="s">
        <v>52</v>
      </c>
      <c r="C112" t="s">
        <v>6</v>
      </c>
      <c r="D112" t="s">
        <v>3</v>
      </c>
      <c r="E112" t="s">
        <v>55</v>
      </c>
      <c r="F112">
        <v>99</v>
      </c>
      <c r="G112">
        <f>IF(E112="Nail Tech",0,F112*Settings!$B$1)</f>
        <v>0</v>
      </c>
      <c r="H112">
        <f>IF(E112="Nail Tech",F112,F112*Settings!$B$2)</f>
        <v>0</v>
      </c>
    </row>
    <row r="113" spans="1:8">
      <c r="A113" s="2">
        <v>45670</v>
      </c>
      <c r="B113" t="s">
        <v>52</v>
      </c>
      <c r="C113" t="s">
        <v>6</v>
      </c>
      <c r="D113" t="s">
        <v>3</v>
      </c>
      <c r="E113" t="s">
        <v>55</v>
      </c>
      <c r="F113">
        <v>99</v>
      </c>
      <c r="G113">
        <f>IF(E113="Nail Tech",0,F113*Settings!$B$1)</f>
        <v>0</v>
      </c>
      <c r="H113">
        <f>IF(E113="Nail Tech",F113,F113*Settings!$B$2)</f>
        <v>0</v>
      </c>
    </row>
    <row r="114" spans="1:8">
      <c r="A114" s="2">
        <v>45670</v>
      </c>
      <c r="B114" t="s">
        <v>52</v>
      </c>
      <c r="C114" t="s">
        <v>23</v>
      </c>
      <c r="D114" t="s">
        <v>3</v>
      </c>
      <c r="E114" t="s">
        <v>56</v>
      </c>
      <c r="F114">
        <v>100</v>
      </c>
      <c r="G114">
        <f>IF(E114="Nail Tech",0,F114*Settings!$B$1)</f>
        <v>0</v>
      </c>
      <c r="H114">
        <f>IF(E114="Nail Tech",F114,F114*Settings!$B$2)</f>
        <v>0</v>
      </c>
    </row>
    <row r="115" spans="1:8">
      <c r="A115" s="2">
        <v>45670</v>
      </c>
      <c r="B115" t="s">
        <v>52</v>
      </c>
      <c r="C115" t="s">
        <v>6</v>
      </c>
      <c r="D115" t="s">
        <v>3</v>
      </c>
      <c r="E115" t="s">
        <v>55</v>
      </c>
      <c r="F115">
        <v>99</v>
      </c>
      <c r="G115">
        <f>IF(E115="Nail Tech",0,F115*Settings!$B$1)</f>
        <v>0</v>
      </c>
      <c r="H115">
        <f>IF(E115="Nail Tech",F115,F115*Settings!$B$2)</f>
        <v>0</v>
      </c>
    </row>
    <row r="116" spans="1:8">
      <c r="A116" s="2">
        <v>45670</v>
      </c>
      <c r="B116" t="s">
        <v>52</v>
      </c>
      <c r="C116" t="s">
        <v>11</v>
      </c>
      <c r="D116" t="s">
        <v>3</v>
      </c>
      <c r="E116" t="s">
        <v>55</v>
      </c>
      <c r="F116">
        <v>499</v>
      </c>
      <c r="G116">
        <f>IF(E116="Nail Tech",0,F116*Settings!$B$1)</f>
        <v>0</v>
      </c>
      <c r="H116">
        <f>IF(E116="Nail Tech",F116,F116*Settings!$B$2)</f>
        <v>0</v>
      </c>
    </row>
    <row r="117" spans="1:8">
      <c r="A117" s="2">
        <v>45670</v>
      </c>
      <c r="B117" t="s">
        <v>52</v>
      </c>
      <c r="C117" t="s">
        <v>7</v>
      </c>
      <c r="D117" t="s">
        <v>3</v>
      </c>
      <c r="E117" t="s">
        <v>56</v>
      </c>
      <c r="F117">
        <v>149</v>
      </c>
      <c r="G117">
        <f>IF(E117="Nail Tech",0,F117*Settings!$B$1)</f>
        <v>0</v>
      </c>
      <c r="H117">
        <f>IF(E117="Nail Tech",F117,F117*Settings!$B$2)</f>
        <v>0</v>
      </c>
    </row>
    <row r="118" spans="1:8">
      <c r="A118" s="2">
        <v>45670</v>
      </c>
      <c r="B118" t="s">
        <v>52</v>
      </c>
      <c r="C118" t="s">
        <v>29</v>
      </c>
      <c r="D118" t="s">
        <v>4</v>
      </c>
      <c r="E118" t="s">
        <v>54</v>
      </c>
      <c r="F118">
        <v>299</v>
      </c>
      <c r="G118">
        <f>IF(E118="Nail Tech",0,F118*Settings!$B$1)</f>
        <v>0</v>
      </c>
      <c r="H118">
        <f>IF(E118="Nail Tech",F118,F118*Settings!$B$2)</f>
        <v>0</v>
      </c>
    </row>
    <row r="119" spans="1:8">
      <c r="A119" s="2">
        <v>45670</v>
      </c>
      <c r="B119" t="s">
        <v>52</v>
      </c>
      <c r="C119" t="s">
        <v>7</v>
      </c>
      <c r="D119" t="s">
        <v>3</v>
      </c>
      <c r="E119" t="s">
        <v>55</v>
      </c>
      <c r="F119">
        <v>149</v>
      </c>
      <c r="G119">
        <f>IF(E119="Nail Tech",0,F119*Settings!$B$1)</f>
        <v>0</v>
      </c>
      <c r="H119">
        <f>IF(E119="Nail Tech",F119,F119*Settings!$B$2)</f>
        <v>0</v>
      </c>
    </row>
    <row r="120" spans="1:8">
      <c r="A120" s="2">
        <v>45670</v>
      </c>
      <c r="B120" t="s">
        <v>52</v>
      </c>
      <c r="C120" t="s">
        <v>8</v>
      </c>
      <c r="D120" t="s">
        <v>3</v>
      </c>
      <c r="E120" t="s">
        <v>55</v>
      </c>
      <c r="F120">
        <v>199</v>
      </c>
      <c r="G120">
        <f>IF(E120="Nail Tech",0,F120*Settings!$B$1)</f>
        <v>0</v>
      </c>
      <c r="H120">
        <f>IF(E120="Nail Tech",F120,F120*Settings!$B$2)</f>
        <v>0</v>
      </c>
    </row>
    <row r="121" spans="1:8">
      <c r="A121" s="2">
        <v>45670</v>
      </c>
      <c r="B121" t="s">
        <v>52</v>
      </c>
      <c r="C121" t="s">
        <v>32</v>
      </c>
      <c r="D121" t="s">
        <v>4</v>
      </c>
      <c r="E121" t="s">
        <v>54</v>
      </c>
      <c r="F121">
        <v>399</v>
      </c>
      <c r="G121">
        <f>IF(E121="Nail Tech",0,F121*Settings!$B$1)</f>
        <v>0</v>
      </c>
      <c r="H121">
        <f>IF(E121="Nail Tech",F121,F121*Settings!$B$2)</f>
        <v>0</v>
      </c>
    </row>
    <row r="122" spans="1:8">
      <c r="A122" s="2">
        <v>45670</v>
      </c>
      <c r="B122" t="s">
        <v>52</v>
      </c>
      <c r="C122" t="s">
        <v>6</v>
      </c>
      <c r="D122" t="s">
        <v>3</v>
      </c>
      <c r="E122" t="s">
        <v>55</v>
      </c>
      <c r="F122">
        <v>99</v>
      </c>
      <c r="G122">
        <f>IF(E122="Nail Tech",0,F122*Settings!$B$1)</f>
        <v>0</v>
      </c>
      <c r="H122">
        <f>IF(E122="Nail Tech",F122,F122*Settings!$B$2)</f>
        <v>0</v>
      </c>
    </row>
    <row r="123" spans="1:8">
      <c r="A123" s="2">
        <v>45670</v>
      </c>
      <c r="B123" t="s">
        <v>52</v>
      </c>
      <c r="C123" t="s">
        <v>23</v>
      </c>
      <c r="D123" t="s">
        <v>3</v>
      </c>
      <c r="E123" t="s">
        <v>55</v>
      </c>
      <c r="F123">
        <v>100</v>
      </c>
      <c r="G123">
        <f>IF(E123="Nail Tech",0,F123*Settings!$B$1)</f>
        <v>0</v>
      </c>
      <c r="H123">
        <f>IF(E123="Nail Tech",F123,F123*Settings!$B$2)</f>
        <v>0</v>
      </c>
    </row>
    <row r="124" spans="1:8">
      <c r="A124" s="2">
        <v>45670</v>
      </c>
      <c r="B124" t="s">
        <v>52</v>
      </c>
      <c r="C124" t="s">
        <v>23</v>
      </c>
      <c r="D124" t="s">
        <v>3</v>
      </c>
      <c r="E124" t="s">
        <v>56</v>
      </c>
      <c r="F124">
        <v>100</v>
      </c>
      <c r="G124">
        <f>IF(E124="Nail Tech",0,F124*Settings!$B$1)</f>
        <v>0</v>
      </c>
      <c r="H124">
        <f>IF(E124="Nail Tech",F124,F124*Settings!$B$2)</f>
        <v>0</v>
      </c>
    </row>
    <row r="125" spans="1:8">
      <c r="A125" s="2">
        <v>45671</v>
      </c>
      <c r="B125" t="s">
        <v>53</v>
      </c>
      <c r="C125" t="s">
        <v>6</v>
      </c>
      <c r="D125" t="s">
        <v>3</v>
      </c>
      <c r="E125" t="s">
        <v>56</v>
      </c>
      <c r="F125">
        <v>99</v>
      </c>
      <c r="G125">
        <f>IF(E125="Nail Tech",0,F125*Settings!$B$1)</f>
        <v>0</v>
      </c>
      <c r="H125">
        <f>IF(E125="Nail Tech",F125,F125*Settings!$B$2)</f>
        <v>0</v>
      </c>
    </row>
    <row r="126" spans="1:8">
      <c r="A126" s="2">
        <v>45671</v>
      </c>
      <c r="B126" t="s">
        <v>53</v>
      </c>
      <c r="C126" t="s">
        <v>10</v>
      </c>
      <c r="D126" t="s">
        <v>3</v>
      </c>
      <c r="E126" t="s">
        <v>56</v>
      </c>
      <c r="F126">
        <v>499</v>
      </c>
      <c r="G126">
        <f>IF(E126="Nail Tech",0,F126*Settings!$B$1)</f>
        <v>0</v>
      </c>
      <c r="H126">
        <f>IF(E126="Nail Tech",F126,F126*Settings!$B$2)</f>
        <v>0</v>
      </c>
    </row>
    <row r="127" spans="1:8">
      <c r="A127" s="2">
        <v>45671</v>
      </c>
      <c r="B127" t="s">
        <v>53</v>
      </c>
      <c r="C127" t="s">
        <v>23</v>
      </c>
      <c r="D127" t="s">
        <v>3</v>
      </c>
      <c r="E127" t="s">
        <v>56</v>
      </c>
      <c r="F127">
        <v>100</v>
      </c>
      <c r="G127">
        <f>IF(E127="Nail Tech",0,F127*Settings!$B$1)</f>
        <v>0</v>
      </c>
      <c r="H127">
        <f>IF(E127="Nail Tech",F127,F127*Settings!$B$2)</f>
        <v>0</v>
      </c>
    </row>
    <row r="128" spans="1:8">
      <c r="A128" s="2">
        <v>45671</v>
      </c>
      <c r="B128" t="s">
        <v>53</v>
      </c>
      <c r="C128" t="s">
        <v>29</v>
      </c>
      <c r="D128" t="s">
        <v>4</v>
      </c>
      <c r="E128" t="s">
        <v>54</v>
      </c>
      <c r="F128">
        <v>299</v>
      </c>
      <c r="G128">
        <f>IF(E128="Nail Tech",0,F128*Settings!$B$1)</f>
        <v>0</v>
      </c>
      <c r="H128">
        <f>IF(E128="Nail Tech",F128,F128*Settings!$B$2)</f>
        <v>0</v>
      </c>
    </row>
    <row r="129" spans="1:8">
      <c r="A129" s="2">
        <v>45671</v>
      </c>
      <c r="B129" t="s">
        <v>53</v>
      </c>
      <c r="C129" t="s">
        <v>30</v>
      </c>
      <c r="D129" t="s">
        <v>4</v>
      </c>
      <c r="E129" t="s">
        <v>54</v>
      </c>
      <c r="F129">
        <v>399</v>
      </c>
      <c r="G129">
        <f>IF(E129="Nail Tech",0,F129*Settings!$B$1)</f>
        <v>0</v>
      </c>
      <c r="H129">
        <f>IF(E129="Nail Tech",F129,F129*Settings!$B$2)</f>
        <v>0</v>
      </c>
    </row>
    <row r="130" spans="1:8">
      <c r="A130" s="2">
        <v>45671</v>
      </c>
      <c r="B130" t="s">
        <v>53</v>
      </c>
      <c r="C130" t="s">
        <v>6</v>
      </c>
      <c r="D130" t="s">
        <v>3</v>
      </c>
      <c r="E130" t="s">
        <v>56</v>
      </c>
      <c r="F130">
        <v>99</v>
      </c>
      <c r="G130">
        <f>IF(E130="Nail Tech",0,F130*Settings!$B$1)</f>
        <v>0</v>
      </c>
      <c r="H130">
        <f>IF(E130="Nail Tech",F130,F130*Settings!$B$2)</f>
        <v>0</v>
      </c>
    </row>
    <row r="131" spans="1:8">
      <c r="A131" s="2">
        <v>45672</v>
      </c>
      <c r="B131" t="s">
        <v>47</v>
      </c>
      <c r="C131" t="s">
        <v>20</v>
      </c>
      <c r="D131" t="s">
        <v>3</v>
      </c>
      <c r="E131" t="s">
        <v>56</v>
      </c>
      <c r="F131">
        <v>1499</v>
      </c>
      <c r="G131">
        <f>IF(E131="Nail Tech",0,F131*Settings!$B$1)</f>
        <v>0</v>
      </c>
      <c r="H131">
        <f>IF(E131="Nail Tech",F131,F131*Settings!$B$2)</f>
        <v>0</v>
      </c>
    </row>
    <row r="132" spans="1:8">
      <c r="A132" s="2">
        <v>45672</v>
      </c>
      <c r="B132" t="s">
        <v>47</v>
      </c>
      <c r="C132" t="s">
        <v>23</v>
      </c>
      <c r="D132" t="s">
        <v>3</v>
      </c>
      <c r="E132" t="s">
        <v>55</v>
      </c>
      <c r="F132">
        <v>100</v>
      </c>
      <c r="G132">
        <f>IF(E132="Nail Tech",0,F132*Settings!$B$1)</f>
        <v>0</v>
      </c>
      <c r="H132">
        <f>IF(E132="Nail Tech",F132,F132*Settings!$B$2)</f>
        <v>0</v>
      </c>
    </row>
    <row r="133" spans="1:8">
      <c r="A133" s="2">
        <v>45672</v>
      </c>
      <c r="B133" t="s">
        <v>47</v>
      </c>
      <c r="C133" t="s">
        <v>26</v>
      </c>
      <c r="D133" t="s">
        <v>4</v>
      </c>
      <c r="E133" t="s">
        <v>54</v>
      </c>
      <c r="F133">
        <v>149</v>
      </c>
      <c r="G133">
        <f>IF(E133="Nail Tech",0,F133*Settings!$B$1)</f>
        <v>0</v>
      </c>
      <c r="H133">
        <f>IF(E133="Nail Tech",F133,F133*Settings!$B$2)</f>
        <v>0</v>
      </c>
    </row>
    <row r="134" spans="1:8">
      <c r="A134" s="2">
        <v>45672</v>
      </c>
      <c r="B134" t="s">
        <v>47</v>
      </c>
      <c r="C134" t="s">
        <v>20</v>
      </c>
      <c r="D134" t="s">
        <v>3</v>
      </c>
      <c r="E134" t="s">
        <v>56</v>
      </c>
      <c r="F134">
        <v>1499</v>
      </c>
      <c r="G134">
        <f>IF(E134="Nail Tech",0,F134*Settings!$B$1)</f>
        <v>0</v>
      </c>
      <c r="H134">
        <f>IF(E134="Nail Tech",F134,F134*Settings!$B$2)</f>
        <v>0</v>
      </c>
    </row>
    <row r="135" spans="1:8">
      <c r="A135" s="2">
        <v>45672</v>
      </c>
      <c r="B135" t="s">
        <v>47</v>
      </c>
      <c r="C135" t="s">
        <v>23</v>
      </c>
      <c r="D135" t="s">
        <v>3</v>
      </c>
      <c r="E135" t="s">
        <v>55</v>
      </c>
      <c r="F135">
        <v>100</v>
      </c>
      <c r="G135">
        <f>IF(E135="Nail Tech",0,F135*Settings!$B$1)</f>
        <v>0</v>
      </c>
      <c r="H135">
        <f>IF(E135="Nail Tech",F135,F135*Settings!$B$2)</f>
        <v>0</v>
      </c>
    </row>
    <row r="136" spans="1:8">
      <c r="A136" s="2">
        <v>45672</v>
      </c>
      <c r="B136" t="s">
        <v>47</v>
      </c>
      <c r="C136" t="s">
        <v>32</v>
      </c>
      <c r="D136" t="s">
        <v>4</v>
      </c>
      <c r="E136" t="s">
        <v>54</v>
      </c>
      <c r="F136">
        <v>399</v>
      </c>
      <c r="G136">
        <f>IF(E136="Nail Tech",0,F136*Settings!$B$1)</f>
        <v>0</v>
      </c>
      <c r="H136">
        <f>IF(E136="Nail Tech",F136,F136*Settings!$B$2)</f>
        <v>0</v>
      </c>
    </row>
    <row r="137" spans="1:8">
      <c r="A137" s="2">
        <v>45672</v>
      </c>
      <c r="B137" t="s">
        <v>47</v>
      </c>
      <c r="C137" t="s">
        <v>30</v>
      </c>
      <c r="D137" t="s">
        <v>4</v>
      </c>
      <c r="E137" t="s">
        <v>54</v>
      </c>
      <c r="F137">
        <v>399</v>
      </c>
      <c r="G137">
        <f>IF(E137="Nail Tech",0,F137*Settings!$B$1)</f>
        <v>0</v>
      </c>
      <c r="H137">
        <f>IF(E137="Nail Tech",F137,F137*Settings!$B$2)</f>
        <v>0</v>
      </c>
    </row>
    <row r="138" spans="1:8">
      <c r="A138" s="2">
        <v>45672</v>
      </c>
      <c r="B138" t="s">
        <v>47</v>
      </c>
      <c r="C138" t="s">
        <v>26</v>
      </c>
      <c r="D138" t="s">
        <v>4</v>
      </c>
      <c r="E138" t="s">
        <v>54</v>
      </c>
      <c r="F138">
        <v>149</v>
      </c>
      <c r="G138">
        <f>IF(E138="Nail Tech",0,F138*Settings!$B$1)</f>
        <v>0</v>
      </c>
      <c r="H138">
        <f>IF(E138="Nail Tech",F138,F138*Settings!$B$2)</f>
        <v>0</v>
      </c>
    </row>
    <row r="139" spans="1:8">
      <c r="A139" s="2">
        <v>45672</v>
      </c>
      <c r="B139" t="s">
        <v>47</v>
      </c>
      <c r="C139" t="s">
        <v>23</v>
      </c>
      <c r="D139" t="s">
        <v>3</v>
      </c>
      <c r="E139" t="s">
        <v>55</v>
      </c>
      <c r="F139">
        <v>100</v>
      </c>
      <c r="G139">
        <f>IF(E139="Nail Tech",0,F139*Settings!$B$1)</f>
        <v>0</v>
      </c>
      <c r="H139">
        <f>IF(E139="Nail Tech",F139,F139*Settings!$B$2)</f>
        <v>0</v>
      </c>
    </row>
    <row r="140" spans="1:8">
      <c r="A140" s="2">
        <v>45672</v>
      </c>
      <c r="B140" t="s">
        <v>47</v>
      </c>
      <c r="C140" t="s">
        <v>7</v>
      </c>
      <c r="D140" t="s">
        <v>3</v>
      </c>
      <c r="E140" t="s">
        <v>56</v>
      </c>
      <c r="F140">
        <v>149</v>
      </c>
      <c r="G140">
        <f>IF(E140="Nail Tech",0,F140*Settings!$B$1)</f>
        <v>0</v>
      </c>
      <c r="H140">
        <f>IF(E140="Nail Tech",F140,F140*Settings!$B$2)</f>
        <v>0</v>
      </c>
    </row>
    <row r="141" spans="1:8">
      <c r="A141" s="2">
        <v>45672</v>
      </c>
      <c r="B141" t="s">
        <v>47</v>
      </c>
      <c r="C141" t="s">
        <v>16</v>
      </c>
      <c r="D141" t="s">
        <v>3</v>
      </c>
      <c r="E141" t="s">
        <v>56</v>
      </c>
      <c r="F141">
        <v>3199</v>
      </c>
      <c r="G141">
        <f>IF(E141="Nail Tech",0,F141*Settings!$B$1)</f>
        <v>0</v>
      </c>
      <c r="H141">
        <f>IF(E141="Nail Tech",F141,F141*Settings!$B$2)</f>
        <v>0</v>
      </c>
    </row>
    <row r="142" spans="1:8">
      <c r="A142" s="2">
        <v>45672</v>
      </c>
      <c r="B142" t="s">
        <v>47</v>
      </c>
      <c r="C142" t="s">
        <v>6</v>
      </c>
      <c r="D142" t="s">
        <v>3</v>
      </c>
      <c r="E142" t="s">
        <v>56</v>
      </c>
      <c r="F142">
        <v>99</v>
      </c>
      <c r="G142">
        <f>IF(E142="Nail Tech",0,F142*Settings!$B$1)</f>
        <v>0</v>
      </c>
      <c r="H142">
        <f>IF(E142="Nail Tech",F142,F142*Settings!$B$2)</f>
        <v>0</v>
      </c>
    </row>
    <row r="143" spans="1:8">
      <c r="A143" s="2">
        <v>45672</v>
      </c>
      <c r="B143" t="s">
        <v>47</v>
      </c>
      <c r="C143" t="s">
        <v>6</v>
      </c>
      <c r="D143" t="s">
        <v>3</v>
      </c>
      <c r="E143" t="s">
        <v>55</v>
      </c>
      <c r="F143">
        <v>99</v>
      </c>
      <c r="G143">
        <f>IF(E143="Nail Tech",0,F143*Settings!$B$1)</f>
        <v>0</v>
      </c>
      <c r="H143">
        <f>IF(E143="Nail Tech",F143,F143*Settings!$B$2)</f>
        <v>0</v>
      </c>
    </row>
    <row r="144" spans="1:8">
      <c r="A144" s="2">
        <v>45672</v>
      </c>
      <c r="B144" t="s">
        <v>47</v>
      </c>
      <c r="C144" t="s">
        <v>33</v>
      </c>
      <c r="D144" t="s">
        <v>4</v>
      </c>
      <c r="E144" t="s">
        <v>54</v>
      </c>
      <c r="F144">
        <v>399</v>
      </c>
      <c r="G144">
        <f>IF(E144="Nail Tech",0,F144*Settings!$B$1)</f>
        <v>0</v>
      </c>
      <c r="H144">
        <f>IF(E144="Nail Tech",F144,F144*Settings!$B$2)</f>
        <v>0</v>
      </c>
    </row>
    <row r="145" spans="1:8">
      <c r="A145" s="2">
        <v>45672</v>
      </c>
      <c r="B145" t="s">
        <v>47</v>
      </c>
      <c r="C145" t="s">
        <v>26</v>
      </c>
      <c r="D145" t="s">
        <v>4</v>
      </c>
      <c r="E145" t="s">
        <v>54</v>
      </c>
      <c r="F145">
        <v>149</v>
      </c>
      <c r="G145">
        <f>IF(E145="Nail Tech",0,F145*Settings!$B$1)</f>
        <v>0</v>
      </c>
      <c r="H145">
        <f>IF(E145="Nail Tech",F145,F145*Settings!$B$2)</f>
        <v>0</v>
      </c>
    </row>
    <row r="146" spans="1:8">
      <c r="A146" s="2">
        <v>45673</v>
      </c>
      <c r="B146" t="s">
        <v>48</v>
      </c>
      <c r="C146" t="s">
        <v>30</v>
      </c>
      <c r="D146" t="s">
        <v>4</v>
      </c>
      <c r="E146" t="s">
        <v>54</v>
      </c>
      <c r="F146">
        <v>399</v>
      </c>
      <c r="G146">
        <f>IF(E146="Nail Tech",0,F146*Settings!$B$1)</f>
        <v>0</v>
      </c>
      <c r="H146">
        <f>IF(E146="Nail Tech",F146,F146*Settings!$B$2)</f>
        <v>0</v>
      </c>
    </row>
    <row r="147" spans="1:8">
      <c r="A147" s="2">
        <v>45673</v>
      </c>
      <c r="B147" t="s">
        <v>48</v>
      </c>
      <c r="C147" t="s">
        <v>25</v>
      </c>
      <c r="D147" t="s">
        <v>4</v>
      </c>
      <c r="E147" t="s">
        <v>54</v>
      </c>
      <c r="F147">
        <v>119</v>
      </c>
      <c r="G147">
        <f>IF(E147="Nail Tech",0,F147*Settings!$B$1)</f>
        <v>0</v>
      </c>
      <c r="H147">
        <f>IF(E147="Nail Tech",F147,F147*Settings!$B$2)</f>
        <v>0</v>
      </c>
    </row>
    <row r="148" spans="1:8">
      <c r="A148" s="2">
        <v>45673</v>
      </c>
      <c r="B148" t="s">
        <v>48</v>
      </c>
      <c r="C148" t="s">
        <v>6</v>
      </c>
      <c r="D148" t="s">
        <v>3</v>
      </c>
      <c r="E148" t="s">
        <v>56</v>
      </c>
      <c r="F148">
        <v>99</v>
      </c>
      <c r="G148">
        <f>IF(E148="Nail Tech",0,F148*Settings!$B$1)</f>
        <v>0</v>
      </c>
      <c r="H148">
        <f>IF(E148="Nail Tech",F148,F148*Settings!$B$2)</f>
        <v>0</v>
      </c>
    </row>
    <row r="149" spans="1:8">
      <c r="A149" s="2">
        <v>45673</v>
      </c>
      <c r="B149" t="s">
        <v>48</v>
      </c>
      <c r="C149" t="s">
        <v>23</v>
      </c>
      <c r="D149" t="s">
        <v>3</v>
      </c>
      <c r="E149" t="s">
        <v>55</v>
      </c>
      <c r="F149">
        <v>100</v>
      </c>
      <c r="G149">
        <f>IF(E149="Nail Tech",0,F149*Settings!$B$1)</f>
        <v>0</v>
      </c>
      <c r="H149">
        <f>IF(E149="Nail Tech",F149,F149*Settings!$B$2)</f>
        <v>0</v>
      </c>
    </row>
    <row r="150" spans="1:8">
      <c r="A150" s="2">
        <v>45673</v>
      </c>
      <c r="B150" t="s">
        <v>48</v>
      </c>
      <c r="C150" t="s">
        <v>6</v>
      </c>
      <c r="D150" t="s">
        <v>3</v>
      </c>
      <c r="E150" t="s">
        <v>55</v>
      </c>
      <c r="F150">
        <v>99</v>
      </c>
      <c r="G150">
        <f>IF(E150="Nail Tech",0,F150*Settings!$B$1)</f>
        <v>0</v>
      </c>
      <c r="H150">
        <f>IF(E150="Nail Tech",F150,F150*Settings!$B$2)</f>
        <v>0</v>
      </c>
    </row>
    <row r="151" spans="1:8">
      <c r="A151" s="2">
        <v>45673</v>
      </c>
      <c r="B151" t="s">
        <v>48</v>
      </c>
      <c r="C151" t="s">
        <v>25</v>
      </c>
      <c r="D151" t="s">
        <v>4</v>
      </c>
      <c r="E151" t="s">
        <v>54</v>
      </c>
      <c r="F151">
        <v>119</v>
      </c>
      <c r="G151">
        <f>IF(E151="Nail Tech",0,F151*Settings!$B$1)</f>
        <v>0</v>
      </c>
      <c r="H151">
        <f>IF(E151="Nail Tech",F151,F151*Settings!$B$2)</f>
        <v>0</v>
      </c>
    </row>
    <row r="152" spans="1:8">
      <c r="A152" s="2">
        <v>45673</v>
      </c>
      <c r="B152" t="s">
        <v>48</v>
      </c>
      <c r="C152" t="s">
        <v>6</v>
      </c>
      <c r="D152" t="s">
        <v>3</v>
      </c>
      <c r="E152" t="s">
        <v>55</v>
      </c>
      <c r="F152">
        <v>99</v>
      </c>
      <c r="G152">
        <f>IF(E152="Nail Tech",0,F152*Settings!$B$1)</f>
        <v>0</v>
      </c>
      <c r="H152">
        <f>IF(E152="Nail Tech",F152,F152*Settings!$B$2)</f>
        <v>0</v>
      </c>
    </row>
    <row r="153" spans="1:8">
      <c r="A153" s="2">
        <v>45673</v>
      </c>
      <c r="B153" t="s">
        <v>48</v>
      </c>
      <c r="C153" t="s">
        <v>7</v>
      </c>
      <c r="D153" t="s">
        <v>3</v>
      </c>
      <c r="E153" t="s">
        <v>56</v>
      </c>
      <c r="F153">
        <v>149</v>
      </c>
      <c r="G153">
        <f>IF(E153="Nail Tech",0,F153*Settings!$B$1)</f>
        <v>0</v>
      </c>
      <c r="H153">
        <f>IF(E153="Nail Tech",F153,F153*Settings!$B$2)</f>
        <v>0</v>
      </c>
    </row>
    <row r="154" spans="1:8">
      <c r="A154" s="2">
        <v>45673</v>
      </c>
      <c r="B154" t="s">
        <v>48</v>
      </c>
      <c r="C154" t="s">
        <v>12</v>
      </c>
      <c r="D154" t="s">
        <v>3</v>
      </c>
      <c r="E154" t="s">
        <v>55</v>
      </c>
      <c r="F154">
        <v>699</v>
      </c>
      <c r="G154">
        <f>IF(E154="Nail Tech",0,F154*Settings!$B$1)</f>
        <v>0</v>
      </c>
      <c r="H154">
        <f>IF(E154="Nail Tech",F154,F154*Settings!$B$2)</f>
        <v>0</v>
      </c>
    </row>
    <row r="155" spans="1:8">
      <c r="A155" s="2">
        <v>45673</v>
      </c>
      <c r="B155" t="s">
        <v>48</v>
      </c>
      <c r="C155" t="s">
        <v>23</v>
      </c>
      <c r="D155" t="s">
        <v>3</v>
      </c>
      <c r="E155" t="s">
        <v>56</v>
      </c>
      <c r="F155">
        <v>100</v>
      </c>
      <c r="G155">
        <f>IF(E155="Nail Tech",0,F155*Settings!$B$1)</f>
        <v>0</v>
      </c>
      <c r="H155">
        <f>IF(E155="Nail Tech",F155,F155*Settings!$B$2)</f>
        <v>0</v>
      </c>
    </row>
    <row r="156" spans="1:8">
      <c r="A156" s="2">
        <v>45673</v>
      </c>
      <c r="B156" t="s">
        <v>48</v>
      </c>
      <c r="C156" t="s">
        <v>23</v>
      </c>
      <c r="D156" t="s">
        <v>3</v>
      </c>
      <c r="E156" t="s">
        <v>55</v>
      </c>
      <c r="F156">
        <v>100</v>
      </c>
      <c r="G156">
        <f>IF(E156="Nail Tech",0,F156*Settings!$B$1)</f>
        <v>0</v>
      </c>
      <c r="H156">
        <f>IF(E156="Nail Tech",F156,F156*Settings!$B$2)</f>
        <v>0</v>
      </c>
    </row>
    <row r="157" spans="1:8">
      <c r="A157" s="2">
        <v>45673</v>
      </c>
      <c r="B157" t="s">
        <v>48</v>
      </c>
      <c r="C157" t="s">
        <v>23</v>
      </c>
      <c r="D157" t="s">
        <v>3</v>
      </c>
      <c r="E157" t="s">
        <v>55</v>
      </c>
      <c r="F157">
        <v>100</v>
      </c>
      <c r="G157">
        <f>IF(E157="Nail Tech",0,F157*Settings!$B$1)</f>
        <v>0</v>
      </c>
      <c r="H157">
        <f>IF(E157="Nail Tech",F157,F157*Settings!$B$2)</f>
        <v>0</v>
      </c>
    </row>
    <row r="158" spans="1:8">
      <c r="A158" s="2">
        <v>45673</v>
      </c>
      <c r="B158" t="s">
        <v>48</v>
      </c>
      <c r="C158" t="s">
        <v>31</v>
      </c>
      <c r="D158" t="s">
        <v>4</v>
      </c>
      <c r="E158" t="s">
        <v>54</v>
      </c>
      <c r="F158">
        <v>349</v>
      </c>
      <c r="G158">
        <f>IF(E158="Nail Tech",0,F158*Settings!$B$1)</f>
        <v>0</v>
      </c>
      <c r="H158">
        <f>IF(E158="Nail Tech",F158,F158*Settings!$B$2)</f>
        <v>0</v>
      </c>
    </row>
    <row r="159" spans="1:8">
      <c r="A159" s="2">
        <v>45674</v>
      </c>
      <c r="B159" t="s">
        <v>49</v>
      </c>
      <c r="C159" t="s">
        <v>30</v>
      </c>
      <c r="D159" t="s">
        <v>4</v>
      </c>
      <c r="E159" t="s">
        <v>54</v>
      </c>
      <c r="F159">
        <v>399</v>
      </c>
      <c r="G159">
        <f>IF(E159="Nail Tech",0,F159*Settings!$B$1)</f>
        <v>0</v>
      </c>
      <c r="H159">
        <f>IF(E159="Nail Tech",F159,F159*Settings!$B$2)</f>
        <v>0</v>
      </c>
    </row>
    <row r="160" spans="1:8">
      <c r="A160" s="2">
        <v>45674</v>
      </c>
      <c r="B160" t="s">
        <v>49</v>
      </c>
      <c r="C160" t="s">
        <v>32</v>
      </c>
      <c r="D160" t="s">
        <v>4</v>
      </c>
      <c r="E160" t="s">
        <v>54</v>
      </c>
      <c r="F160">
        <v>399</v>
      </c>
      <c r="G160">
        <f>IF(E160="Nail Tech",0,F160*Settings!$B$1)</f>
        <v>0</v>
      </c>
      <c r="H160">
        <f>IF(E160="Nail Tech",F160,F160*Settings!$B$2)</f>
        <v>0</v>
      </c>
    </row>
    <row r="161" spans="1:8">
      <c r="A161" s="2">
        <v>45674</v>
      </c>
      <c r="B161" t="s">
        <v>49</v>
      </c>
      <c r="C161" t="s">
        <v>10</v>
      </c>
      <c r="D161" t="s">
        <v>3</v>
      </c>
      <c r="E161" t="s">
        <v>56</v>
      </c>
      <c r="F161">
        <v>499</v>
      </c>
      <c r="G161">
        <f>IF(E161="Nail Tech",0,F161*Settings!$B$1)</f>
        <v>0</v>
      </c>
      <c r="H161">
        <f>IF(E161="Nail Tech",F161,F161*Settings!$B$2)</f>
        <v>0</v>
      </c>
    </row>
    <row r="162" spans="1:8">
      <c r="A162" s="2">
        <v>45674</v>
      </c>
      <c r="B162" t="s">
        <v>49</v>
      </c>
      <c r="C162" t="s">
        <v>8</v>
      </c>
      <c r="D162" t="s">
        <v>3</v>
      </c>
      <c r="E162" t="s">
        <v>55</v>
      </c>
      <c r="F162">
        <v>199</v>
      </c>
      <c r="G162">
        <f>IF(E162="Nail Tech",0,F162*Settings!$B$1)</f>
        <v>0</v>
      </c>
      <c r="H162">
        <f>IF(E162="Nail Tech",F162,F162*Settings!$B$2)</f>
        <v>0</v>
      </c>
    </row>
    <row r="163" spans="1:8">
      <c r="A163" s="2">
        <v>45674</v>
      </c>
      <c r="B163" t="s">
        <v>49</v>
      </c>
      <c r="C163" t="s">
        <v>17</v>
      </c>
      <c r="D163" t="s">
        <v>3</v>
      </c>
      <c r="E163" t="s">
        <v>55</v>
      </c>
      <c r="F163">
        <v>1999</v>
      </c>
      <c r="G163">
        <f>IF(E163="Nail Tech",0,F163*Settings!$B$1)</f>
        <v>0</v>
      </c>
      <c r="H163">
        <f>IF(E163="Nail Tech",F163,F163*Settings!$B$2)</f>
        <v>0</v>
      </c>
    </row>
    <row r="164" spans="1:8">
      <c r="A164" s="2">
        <v>45674</v>
      </c>
      <c r="B164" t="s">
        <v>49</v>
      </c>
      <c r="C164" t="s">
        <v>23</v>
      </c>
      <c r="D164" t="s">
        <v>3</v>
      </c>
      <c r="E164" t="s">
        <v>55</v>
      </c>
      <c r="F164">
        <v>100</v>
      </c>
      <c r="G164">
        <f>IF(E164="Nail Tech",0,F164*Settings!$B$1)</f>
        <v>0</v>
      </c>
      <c r="H164">
        <f>IF(E164="Nail Tech",F164,F164*Settings!$B$2)</f>
        <v>0</v>
      </c>
    </row>
    <row r="165" spans="1:8">
      <c r="A165" s="2">
        <v>45674</v>
      </c>
      <c r="B165" t="s">
        <v>49</v>
      </c>
      <c r="C165" t="s">
        <v>32</v>
      </c>
      <c r="D165" t="s">
        <v>4</v>
      </c>
      <c r="E165" t="s">
        <v>54</v>
      </c>
      <c r="F165">
        <v>399</v>
      </c>
      <c r="G165">
        <f>IF(E165="Nail Tech",0,F165*Settings!$B$1)</f>
        <v>0</v>
      </c>
      <c r="H165">
        <f>IF(E165="Nail Tech",F165,F165*Settings!$B$2)</f>
        <v>0</v>
      </c>
    </row>
    <row r="166" spans="1:8">
      <c r="A166" s="2">
        <v>45674</v>
      </c>
      <c r="B166" t="s">
        <v>49</v>
      </c>
      <c r="C166" t="s">
        <v>7</v>
      </c>
      <c r="D166" t="s">
        <v>3</v>
      </c>
      <c r="E166" t="s">
        <v>55</v>
      </c>
      <c r="F166">
        <v>149</v>
      </c>
      <c r="G166">
        <f>IF(E166="Nail Tech",0,F166*Settings!$B$1)</f>
        <v>0</v>
      </c>
      <c r="H166">
        <f>IF(E166="Nail Tech",F166,F166*Settings!$B$2)</f>
        <v>0</v>
      </c>
    </row>
    <row r="167" spans="1:8">
      <c r="A167" s="2">
        <v>45674</v>
      </c>
      <c r="B167" t="s">
        <v>49</v>
      </c>
      <c r="C167" t="s">
        <v>17</v>
      </c>
      <c r="D167" t="s">
        <v>3</v>
      </c>
      <c r="E167" t="s">
        <v>55</v>
      </c>
      <c r="F167">
        <v>1999</v>
      </c>
      <c r="G167">
        <f>IF(E167="Nail Tech",0,F167*Settings!$B$1)</f>
        <v>0</v>
      </c>
      <c r="H167">
        <f>IF(E167="Nail Tech",F167,F167*Settings!$B$2)</f>
        <v>0</v>
      </c>
    </row>
    <row r="168" spans="1:8">
      <c r="A168" s="2">
        <v>45675</v>
      </c>
      <c r="B168" t="s">
        <v>50</v>
      </c>
      <c r="C168" t="s">
        <v>7</v>
      </c>
      <c r="D168" t="s">
        <v>3</v>
      </c>
      <c r="E168" t="s">
        <v>56</v>
      </c>
      <c r="F168">
        <v>149</v>
      </c>
      <c r="G168">
        <f>IF(E168="Nail Tech",0,F168*Settings!$B$1)</f>
        <v>0</v>
      </c>
      <c r="H168">
        <f>IF(E168="Nail Tech",F168,F168*Settings!$B$2)</f>
        <v>0</v>
      </c>
    </row>
    <row r="169" spans="1:8">
      <c r="A169" s="2">
        <v>45675</v>
      </c>
      <c r="B169" t="s">
        <v>50</v>
      </c>
      <c r="C169" t="s">
        <v>23</v>
      </c>
      <c r="D169" t="s">
        <v>3</v>
      </c>
      <c r="E169" t="s">
        <v>56</v>
      </c>
      <c r="F169">
        <v>100</v>
      </c>
      <c r="G169">
        <f>IF(E169="Nail Tech",0,F169*Settings!$B$1)</f>
        <v>0</v>
      </c>
      <c r="H169">
        <f>IF(E169="Nail Tech",F169,F169*Settings!$B$2)</f>
        <v>0</v>
      </c>
    </row>
    <row r="170" spans="1:8">
      <c r="A170" s="2">
        <v>45675</v>
      </c>
      <c r="B170" t="s">
        <v>50</v>
      </c>
      <c r="C170" t="s">
        <v>7</v>
      </c>
      <c r="D170" t="s">
        <v>3</v>
      </c>
      <c r="E170" t="s">
        <v>55</v>
      </c>
      <c r="F170">
        <v>149</v>
      </c>
      <c r="G170">
        <f>IF(E170="Nail Tech",0,F170*Settings!$B$1)</f>
        <v>0</v>
      </c>
      <c r="H170">
        <f>IF(E170="Nail Tech",F170,F170*Settings!$B$2)</f>
        <v>0</v>
      </c>
    </row>
    <row r="171" spans="1:8">
      <c r="A171" s="2">
        <v>45675</v>
      </c>
      <c r="B171" t="s">
        <v>50</v>
      </c>
      <c r="C171" t="s">
        <v>7</v>
      </c>
      <c r="D171" t="s">
        <v>3</v>
      </c>
      <c r="E171" t="s">
        <v>55</v>
      </c>
      <c r="F171">
        <v>149</v>
      </c>
      <c r="G171">
        <f>IF(E171="Nail Tech",0,F171*Settings!$B$1)</f>
        <v>0</v>
      </c>
      <c r="H171">
        <f>IF(E171="Nail Tech",F171,F171*Settings!$B$2)</f>
        <v>0</v>
      </c>
    </row>
    <row r="172" spans="1:8">
      <c r="A172" s="2">
        <v>45675</v>
      </c>
      <c r="B172" t="s">
        <v>50</v>
      </c>
      <c r="C172" t="s">
        <v>27</v>
      </c>
      <c r="D172" t="s">
        <v>4</v>
      </c>
      <c r="E172" t="s">
        <v>54</v>
      </c>
      <c r="F172">
        <v>269</v>
      </c>
      <c r="G172">
        <f>IF(E172="Nail Tech",0,F172*Settings!$B$1)</f>
        <v>0</v>
      </c>
      <c r="H172">
        <f>IF(E172="Nail Tech",F172,F172*Settings!$B$2)</f>
        <v>0</v>
      </c>
    </row>
    <row r="173" spans="1:8">
      <c r="A173" s="2">
        <v>45675</v>
      </c>
      <c r="B173" t="s">
        <v>50</v>
      </c>
      <c r="C173" t="s">
        <v>16</v>
      </c>
      <c r="D173" t="s">
        <v>3</v>
      </c>
      <c r="E173" t="s">
        <v>55</v>
      </c>
      <c r="F173">
        <v>3199</v>
      </c>
      <c r="G173">
        <f>IF(E173="Nail Tech",0,F173*Settings!$B$1)</f>
        <v>0</v>
      </c>
      <c r="H173">
        <f>IF(E173="Nail Tech",F173,F173*Settings!$B$2)</f>
        <v>0</v>
      </c>
    </row>
    <row r="174" spans="1:8">
      <c r="A174" s="2">
        <v>45675</v>
      </c>
      <c r="B174" t="s">
        <v>50</v>
      </c>
      <c r="C174" t="s">
        <v>11</v>
      </c>
      <c r="D174" t="s">
        <v>3</v>
      </c>
      <c r="E174" t="s">
        <v>56</v>
      </c>
      <c r="F174">
        <v>499</v>
      </c>
      <c r="G174">
        <f>IF(E174="Nail Tech",0,F174*Settings!$B$1)</f>
        <v>0</v>
      </c>
      <c r="H174">
        <f>IF(E174="Nail Tech",F174,F174*Settings!$B$2)</f>
        <v>0</v>
      </c>
    </row>
    <row r="175" spans="1:8">
      <c r="A175" s="2">
        <v>45675</v>
      </c>
      <c r="B175" t="s">
        <v>50</v>
      </c>
      <c r="C175" t="s">
        <v>25</v>
      </c>
      <c r="D175" t="s">
        <v>4</v>
      </c>
      <c r="E175" t="s">
        <v>54</v>
      </c>
      <c r="F175">
        <v>119</v>
      </c>
      <c r="G175">
        <f>IF(E175="Nail Tech",0,F175*Settings!$B$1)</f>
        <v>0</v>
      </c>
      <c r="H175">
        <f>IF(E175="Nail Tech",F175,F175*Settings!$B$2)</f>
        <v>0</v>
      </c>
    </row>
    <row r="176" spans="1:8">
      <c r="A176" s="2">
        <v>45675</v>
      </c>
      <c r="B176" t="s">
        <v>50</v>
      </c>
      <c r="C176" t="s">
        <v>28</v>
      </c>
      <c r="D176" t="s">
        <v>4</v>
      </c>
      <c r="E176" t="s">
        <v>54</v>
      </c>
      <c r="F176">
        <v>499</v>
      </c>
      <c r="G176">
        <f>IF(E176="Nail Tech",0,F176*Settings!$B$1)</f>
        <v>0</v>
      </c>
      <c r="H176">
        <f>IF(E176="Nail Tech",F176,F176*Settings!$B$2)</f>
        <v>0</v>
      </c>
    </row>
    <row r="177" spans="1:8">
      <c r="A177" s="2">
        <v>45675</v>
      </c>
      <c r="B177" t="s">
        <v>50</v>
      </c>
      <c r="C177" t="s">
        <v>25</v>
      </c>
      <c r="D177" t="s">
        <v>4</v>
      </c>
      <c r="E177" t="s">
        <v>54</v>
      </c>
      <c r="F177">
        <v>119</v>
      </c>
      <c r="G177">
        <f>IF(E177="Nail Tech",0,F177*Settings!$B$1)</f>
        <v>0</v>
      </c>
      <c r="H177">
        <f>IF(E177="Nail Tech",F177,F177*Settings!$B$2)</f>
        <v>0</v>
      </c>
    </row>
    <row r="178" spans="1:8">
      <c r="A178" s="2">
        <v>45675</v>
      </c>
      <c r="B178" t="s">
        <v>50</v>
      </c>
      <c r="C178" t="s">
        <v>23</v>
      </c>
      <c r="D178" t="s">
        <v>3</v>
      </c>
      <c r="E178" t="s">
        <v>55</v>
      </c>
      <c r="F178">
        <v>100</v>
      </c>
      <c r="G178">
        <f>IF(E178="Nail Tech",0,F178*Settings!$B$1)</f>
        <v>0</v>
      </c>
      <c r="H178">
        <f>IF(E178="Nail Tech",F178,F178*Settings!$B$2)</f>
        <v>0</v>
      </c>
    </row>
    <row r="179" spans="1:8">
      <c r="A179" s="2">
        <v>45675</v>
      </c>
      <c r="B179" t="s">
        <v>50</v>
      </c>
      <c r="C179" t="s">
        <v>7</v>
      </c>
      <c r="D179" t="s">
        <v>3</v>
      </c>
      <c r="E179" t="s">
        <v>56</v>
      </c>
      <c r="F179">
        <v>149</v>
      </c>
      <c r="G179">
        <f>IF(E179="Nail Tech",0,F179*Settings!$B$1)</f>
        <v>0</v>
      </c>
      <c r="H179">
        <f>IF(E179="Nail Tech",F179,F179*Settings!$B$2)</f>
        <v>0</v>
      </c>
    </row>
    <row r="180" spans="1:8">
      <c r="A180" s="2">
        <v>45675</v>
      </c>
      <c r="B180" t="s">
        <v>50</v>
      </c>
      <c r="C180" t="s">
        <v>23</v>
      </c>
      <c r="D180" t="s">
        <v>3</v>
      </c>
      <c r="E180" t="s">
        <v>55</v>
      </c>
      <c r="F180">
        <v>100</v>
      </c>
      <c r="G180">
        <f>IF(E180="Nail Tech",0,F180*Settings!$B$1)</f>
        <v>0</v>
      </c>
      <c r="H180">
        <f>IF(E180="Nail Tech",F180,F180*Settings!$B$2)</f>
        <v>0</v>
      </c>
    </row>
    <row r="181" spans="1:8">
      <c r="A181" s="2">
        <v>45676</v>
      </c>
      <c r="B181" t="s">
        <v>51</v>
      </c>
      <c r="C181" t="s">
        <v>28</v>
      </c>
      <c r="D181" t="s">
        <v>4</v>
      </c>
      <c r="E181" t="s">
        <v>54</v>
      </c>
      <c r="F181">
        <v>499</v>
      </c>
      <c r="G181">
        <f>IF(E181="Nail Tech",0,F181*Settings!$B$1)</f>
        <v>0</v>
      </c>
      <c r="H181">
        <f>IF(E181="Nail Tech",F181,F181*Settings!$B$2)</f>
        <v>0</v>
      </c>
    </row>
    <row r="182" spans="1:8">
      <c r="A182" s="2">
        <v>45676</v>
      </c>
      <c r="B182" t="s">
        <v>51</v>
      </c>
      <c r="C182" t="s">
        <v>28</v>
      </c>
      <c r="D182" t="s">
        <v>4</v>
      </c>
      <c r="E182" t="s">
        <v>54</v>
      </c>
      <c r="F182">
        <v>499</v>
      </c>
      <c r="G182">
        <f>IF(E182="Nail Tech",0,F182*Settings!$B$1)</f>
        <v>0</v>
      </c>
      <c r="H182">
        <f>IF(E182="Nail Tech",F182,F182*Settings!$B$2)</f>
        <v>0</v>
      </c>
    </row>
    <row r="183" spans="1:8">
      <c r="A183" s="2">
        <v>45676</v>
      </c>
      <c r="B183" t="s">
        <v>51</v>
      </c>
      <c r="C183" t="s">
        <v>26</v>
      </c>
      <c r="D183" t="s">
        <v>4</v>
      </c>
      <c r="E183" t="s">
        <v>54</v>
      </c>
      <c r="F183">
        <v>149</v>
      </c>
      <c r="G183">
        <f>IF(E183="Nail Tech",0,F183*Settings!$B$1)</f>
        <v>0</v>
      </c>
      <c r="H183">
        <f>IF(E183="Nail Tech",F183,F183*Settings!$B$2)</f>
        <v>0</v>
      </c>
    </row>
    <row r="184" spans="1:8">
      <c r="A184" s="2">
        <v>45676</v>
      </c>
      <c r="B184" t="s">
        <v>51</v>
      </c>
      <c r="C184" t="s">
        <v>23</v>
      </c>
      <c r="D184" t="s">
        <v>3</v>
      </c>
      <c r="E184" t="s">
        <v>55</v>
      </c>
      <c r="F184">
        <v>100</v>
      </c>
      <c r="G184">
        <f>IF(E184="Nail Tech",0,F184*Settings!$B$1)</f>
        <v>0</v>
      </c>
      <c r="H184">
        <f>IF(E184="Nail Tech",F184,F184*Settings!$B$2)</f>
        <v>0</v>
      </c>
    </row>
    <row r="185" spans="1:8">
      <c r="A185" s="2">
        <v>45676</v>
      </c>
      <c r="B185" t="s">
        <v>51</v>
      </c>
      <c r="C185" t="s">
        <v>8</v>
      </c>
      <c r="D185" t="s">
        <v>3</v>
      </c>
      <c r="E185" t="s">
        <v>56</v>
      </c>
      <c r="F185">
        <v>199</v>
      </c>
      <c r="G185">
        <f>IF(E185="Nail Tech",0,F185*Settings!$B$1)</f>
        <v>0</v>
      </c>
      <c r="H185">
        <f>IF(E185="Nail Tech",F185,F185*Settings!$B$2)</f>
        <v>0</v>
      </c>
    </row>
    <row r="186" spans="1:8">
      <c r="A186" s="2">
        <v>45676</v>
      </c>
      <c r="B186" t="s">
        <v>51</v>
      </c>
      <c r="C186" t="s">
        <v>23</v>
      </c>
      <c r="D186" t="s">
        <v>3</v>
      </c>
      <c r="E186" t="s">
        <v>55</v>
      </c>
      <c r="F186">
        <v>100</v>
      </c>
      <c r="G186">
        <f>IF(E186="Nail Tech",0,F186*Settings!$B$1)</f>
        <v>0</v>
      </c>
      <c r="H186">
        <f>IF(E186="Nail Tech",F186,F186*Settings!$B$2)</f>
        <v>0</v>
      </c>
    </row>
    <row r="187" spans="1:8">
      <c r="A187" s="2">
        <v>45676</v>
      </c>
      <c r="B187" t="s">
        <v>51</v>
      </c>
      <c r="C187" t="s">
        <v>6</v>
      </c>
      <c r="D187" t="s">
        <v>3</v>
      </c>
      <c r="E187" t="s">
        <v>55</v>
      </c>
      <c r="F187">
        <v>99</v>
      </c>
      <c r="G187">
        <f>IF(E187="Nail Tech",0,F187*Settings!$B$1)</f>
        <v>0</v>
      </c>
      <c r="H187">
        <f>IF(E187="Nail Tech",F187,F187*Settings!$B$2)</f>
        <v>0</v>
      </c>
    </row>
    <row r="188" spans="1:8">
      <c r="A188" s="2">
        <v>45676</v>
      </c>
      <c r="B188" t="s">
        <v>51</v>
      </c>
      <c r="C188" t="s">
        <v>7</v>
      </c>
      <c r="D188" t="s">
        <v>3</v>
      </c>
      <c r="E188" t="s">
        <v>55</v>
      </c>
      <c r="F188">
        <v>149</v>
      </c>
      <c r="G188">
        <f>IF(E188="Nail Tech",0,F188*Settings!$B$1)</f>
        <v>0</v>
      </c>
      <c r="H188">
        <f>IF(E188="Nail Tech",F188,F188*Settings!$B$2)</f>
        <v>0</v>
      </c>
    </row>
    <row r="189" spans="1:8">
      <c r="A189" s="2">
        <v>45676</v>
      </c>
      <c r="B189" t="s">
        <v>51</v>
      </c>
      <c r="C189" t="s">
        <v>7</v>
      </c>
      <c r="D189" t="s">
        <v>3</v>
      </c>
      <c r="E189" t="s">
        <v>55</v>
      </c>
      <c r="F189">
        <v>149</v>
      </c>
      <c r="G189">
        <f>IF(E189="Nail Tech",0,F189*Settings!$B$1)</f>
        <v>0</v>
      </c>
      <c r="H189">
        <f>IF(E189="Nail Tech",F189,F189*Settings!$B$2)</f>
        <v>0</v>
      </c>
    </row>
    <row r="190" spans="1:8">
      <c r="A190" s="2">
        <v>45676</v>
      </c>
      <c r="B190" t="s">
        <v>51</v>
      </c>
      <c r="C190" t="s">
        <v>23</v>
      </c>
      <c r="D190" t="s">
        <v>3</v>
      </c>
      <c r="E190" t="s">
        <v>55</v>
      </c>
      <c r="F190">
        <v>100</v>
      </c>
      <c r="G190">
        <f>IF(E190="Nail Tech",0,F190*Settings!$B$1)</f>
        <v>0</v>
      </c>
      <c r="H190">
        <f>IF(E190="Nail Tech",F190,F190*Settings!$B$2)</f>
        <v>0</v>
      </c>
    </row>
    <row r="191" spans="1:8">
      <c r="A191" s="2">
        <v>45677</v>
      </c>
      <c r="B191" t="s">
        <v>52</v>
      </c>
      <c r="C191" t="s">
        <v>9</v>
      </c>
      <c r="D191" t="s">
        <v>3</v>
      </c>
      <c r="E191" t="s">
        <v>56</v>
      </c>
      <c r="F191">
        <v>349</v>
      </c>
      <c r="G191">
        <f>IF(E191="Nail Tech",0,F191*Settings!$B$1)</f>
        <v>0</v>
      </c>
      <c r="H191">
        <f>IF(E191="Nail Tech",F191,F191*Settings!$B$2)</f>
        <v>0</v>
      </c>
    </row>
    <row r="192" spans="1:8">
      <c r="A192" s="2">
        <v>45677</v>
      </c>
      <c r="B192" t="s">
        <v>52</v>
      </c>
      <c r="C192" t="s">
        <v>22</v>
      </c>
      <c r="D192" t="s">
        <v>3</v>
      </c>
      <c r="E192" t="s">
        <v>56</v>
      </c>
      <c r="F192">
        <v>1999</v>
      </c>
      <c r="G192">
        <f>IF(E192="Nail Tech",0,F192*Settings!$B$1)</f>
        <v>0</v>
      </c>
      <c r="H192">
        <f>IF(E192="Nail Tech",F192,F192*Settings!$B$2)</f>
        <v>0</v>
      </c>
    </row>
    <row r="193" spans="1:8">
      <c r="A193" s="2">
        <v>45677</v>
      </c>
      <c r="B193" t="s">
        <v>52</v>
      </c>
      <c r="C193" t="s">
        <v>7</v>
      </c>
      <c r="D193" t="s">
        <v>3</v>
      </c>
      <c r="E193" t="s">
        <v>55</v>
      </c>
      <c r="F193">
        <v>149</v>
      </c>
      <c r="G193">
        <f>IF(E193="Nail Tech",0,F193*Settings!$B$1)</f>
        <v>0</v>
      </c>
      <c r="H193">
        <f>IF(E193="Nail Tech",F193,F193*Settings!$B$2)</f>
        <v>0</v>
      </c>
    </row>
    <row r="194" spans="1:8">
      <c r="A194" s="2">
        <v>45677</v>
      </c>
      <c r="B194" t="s">
        <v>52</v>
      </c>
      <c r="C194" t="s">
        <v>23</v>
      </c>
      <c r="D194" t="s">
        <v>3</v>
      </c>
      <c r="E194" t="s">
        <v>55</v>
      </c>
      <c r="F194">
        <v>100</v>
      </c>
      <c r="G194">
        <f>IF(E194="Nail Tech",0,F194*Settings!$B$1)</f>
        <v>0</v>
      </c>
      <c r="H194">
        <f>IF(E194="Nail Tech",F194,F194*Settings!$B$2)</f>
        <v>0</v>
      </c>
    </row>
    <row r="195" spans="1:8">
      <c r="A195" s="2">
        <v>45677</v>
      </c>
      <c r="B195" t="s">
        <v>52</v>
      </c>
      <c r="C195" t="s">
        <v>7</v>
      </c>
      <c r="D195" t="s">
        <v>3</v>
      </c>
      <c r="E195" t="s">
        <v>56</v>
      </c>
      <c r="F195">
        <v>149</v>
      </c>
      <c r="G195">
        <f>IF(E195="Nail Tech",0,F195*Settings!$B$1)</f>
        <v>0</v>
      </c>
      <c r="H195">
        <f>IF(E195="Nail Tech",F195,F195*Settings!$B$2)</f>
        <v>0</v>
      </c>
    </row>
    <row r="196" spans="1:8">
      <c r="A196" s="2">
        <v>45677</v>
      </c>
      <c r="B196" t="s">
        <v>52</v>
      </c>
      <c r="C196" t="s">
        <v>34</v>
      </c>
      <c r="D196" t="s">
        <v>4</v>
      </c>
      <c r="E196" t="s">
        <v>54</v>
      </c>
      <c r="F196">
        <v>599</v>
      </c>
      <c r="G196">
        <f>IF(E196="Nail Tech",0,F196*Settings!$B$1)</f>
        <v>0</v>
      </c>
      <c r="H196">
        <f>IF(E196="Nail Tech",F196,F196*Settings!$B$2)</f>
        <v>0</v>
      </c>
    </row>
    <row r="197" spans="1:8">
      <c r="A197" s="2">
        <v>45677</v>
      </c>
      <c r="B197" t="s">
        <v>52</v>
      </c>
      <c r="C197" t="s">
        <v>26</v>
      </c>
      <c r="D197" t="s">
        <v>4</v>
      </c>
      <c r="E197" t="s">
        <v>54</v>
      </c>
      <c r="F197">
        <v>149</v>
      </c>
      <c r="G197">
        <f>IF(E197="Nail Tech",0,F197*Settings!$B$1)</f>
        <v>0</v>
      </c>
      <c r="H197">
        <f>IF(E197="Nail Tech",F197,F197*Settings!$B$2)</f>
        <v>0</v>
      </c>
    </row>
    <row r="198" spans="1:8">
      <c r="A198" s="2">
        <v>45677</v>
      </c>
      <c r="B198" t="s">
        <v>52</v>
      </c>
      <c r="C198" t="s">
        <v>23</v>
      </c>
      <c r="D198" t="s">
        <v>3</v>
      </c>
      <c r="E198" t="s">
        <v>56</v>
      </c>
      <c r="F198">
        <v>100</v>
      </c>
      <c r="G198">
        <f>IF(E198="Nail Tech",0,F198*Settings!$B$1)</f>
        <v>0</v>
      </c>
      <c r="H198">
        <f>IF(E198="Nail Tech",F198,F198*Settings!$B$2)</f>
        <v>0</v>
      </c>
    </row>
    <row r="199" spans="1:8">
      <c r="A199" s="2">
        <v>45677</v>
      </c>
      <c r="B199" t="s">
        <v>52</v>
      </c>
      <c r="C199" t="s">
        <v>6</v>
      </c>
      <c r="D199" t="s">
        <v>3</v>
      </c>
      <c r="E199" t="s">
        <v>56</v>
      </c>
      <c r="F199">
        <v>99</v>
      </c>
      <c r="G199">
        <f>IF(E199="Nail Tech",0,F199*Settings!$B$1)</f>
        <v>0</v>
      </c>
      <c r="H199">
        <f>IF(E199="Nail Tech",F199,F199*Settings!$B$2)</f>
        <v>0</v>
      </c>
    </row>
    <row r="200" spans="1:8">
      <c r="A200" s="2">
        <v>45678</v>
      </c>
      <c r="B200" t="s">
        <v>53</v>
      </c>
      <c r="C200" t="s">
        <v>23</v>
      </c>
      <c r="D200" t="s">
        <v>3</v>
      </c>
      <c r="E200" t="s">
        <v>56</v>
      </c>
      <c r="F200">
        <v>100</v>
      </c>
      <c r="G200">
        <f>IF(E200="Nail Tech",0,F200*Settings!$B$1)</f>
        <v>0</v>
      </c>
      <c r="H200">
        <f>IF(E200="Nail Tech",F200,F200*Settings!$B$2)</f>
        <v>0</v>
      </c>
    </row>
    <row r="201" spans="1:8">
      <c r="A201" s="2">
        <v>45678</v>
      </c>
      <c r="B201" t="s">
        <v>53</v>
      </c>
      <c r="C201" t="s">
        <v>23</v>
      </c>
      <c r="D201" t="s">
        <v>3</v>
      </c>
      <c r="E201" t="s">
        <v>55</v>
      </c>
      <c r="F201">
        <v>100</v>
      </c>
      <c r="G201">
        <f>IF(E201="Nail Tech",0,F201*Settings!$B$1)</f>
        <v>0</v>
      </c>
      <c r="H201">
        <f>IF(E201="Nail Tech",F201,F201*Settings!$B$2)</f>
        <v>0</v>
      </c>
    </row>
    <row r="202" spans="1:8">
      <c r="A202" s="2">
        <v>45678</v>
      </c>
      <c r="B202" t="s">
        <v>53</v>
      </c>
      <c r="C202" t="s">
        <v>8</v>
      </c>
      <c r="D202" t="s">
        <v>3</v>
      </c>
      <c r="E202" t="s">
        <v>56</v>
      </c>
      <c r="F202">
        <v>199</v>
      </c>
      <c r="G202">
        <f>IF(E202="Nail Tech",0,F202*Settings!$B$1)</f>
        <v>0</v>
      </c>
      <c r="H202">
        <f>IF(E202="Nail Tech",F202,F202*Settings!$B$2)</f>
        <v>0</v>
      </c>
    </row>
    <row r="203" spans="1:8">
      <c r="A203" s="2">
        <v>45678</v>
      </c>
      <c r="B203" t="s">
        <v>53</v>
      </c>
      <c r="C203" t="s">
        <v>23</v>
      </c>
      <c r="D203" t="s">
        <v>3</v>
      </c>
      <c r="E203" t="s">
        <v>56</v>
      </c>
      <c r="F203">
        <v>100</v>
      </c>
      <c r="G203">
        <f>IF(E203="Nail Tech",0,F203*Settings!$B$1)</f>
        <v>0</v>
      </c>
      <c r="H203">
        <f>IF(E203="Nail Tech",F203,F203*Settings!$B$2)</f>
        <v>0</v>
      </c>
    </row>
    <row r="204" spans="1:8">
      <c r="A204" s="2">
        <v>45678</v>
      </c>
      <c r="B204" t="s">
        <v>53</v>
      </c>
      <c r="C204" t="s">
        <v>23</v>
      </c>
      <c r="D204" t="s">
        <v>3</v>
      </c>
      <c r="E204" t="s">
        <v>56</v>
      </c>
      <c r="F204">
        <v>100</v>
      </c>
      <c r="G204">
        <f>IF(E204="Nail Tech",0,F204*Settings!$B$1)</f>
        <v>0</v>
      </c>
      <c r="H204">
        <f>IF(E204="Nail Tech",F204,F204*Settings!$B$2)</f>
        <v>0</v>
      </c>
    </row>
    <row r="205" spans="1:8">
      <c r="A205" s="2">
        <v>45678</v>
      </c>
      <c r="B205" t="s">
        <v>53</v>
      </c>
      <c r="C205" t="s">
        <v>10</v>
      </c>
      <c r="D205" t="s">
        <v>3</v>
      </c>
      <c r="E205" t="s">
        <v>55</v>
      </c>
      <c r="F205">
        <v>499</v>
      </c>
      <c r="G205">
        <f>IF(E205="Nail Tech",0,F205*Settings!$B$1)</f>
        <v>0</v>
      </c>
      <c r="H205">
        <f>IF(E205="Nail Tech",F205,F205*Settings!$B$2)</f>
        <v>0</v>
      </c>
    </row>
    <row r="206" spans="1:8">
      <c r="A206" s="2">
        <v>45678</v>
      </c>
      <c r="B206" t="s">
        <v>53</v>
      </c>
      <c r="C206" t="s">
        <v>28</v>
      </c>
      <c r="D206" t="s">
        <v>4</v>
      </c>
      <c r="E206" t="s">
        <v>54</v>
      </c>
      <c r="F206">
        <v>499</v>
      </c>
      <c r="G206">
        <f>IF(E206="Nail Tech",0,F206*Settings!$B$1)</f>
        <v>0</v>
      </c>
      <c r="H206">
        <f>IF(E206="Nail Tech",F206,F206*Settings!$B$2)</f>
        <v>0</v>
      </c>
    </row>
    <row r="207" spans="1:8">
      <c r="A207" s="2">
        <v>45678</v>
      </c>
      <c r="B207" t="s">
        <v>53</v>
      </c>
      <c r="C207" t="s">
        <v>23</v>
      </c>
      <c r="D207" t="s">
        <v>3</v>
      </c>
      <c r="E207" t="s">
        <v>55</v>
      </c>
      <c r="F207">
        <v>100</v>
      </c>
      <c r="G207">
        <f>IF(E207="Nail Tech",0,F207*Settings!$B$1)</f>
        <v>0</v>
      </c>
      <c r="H207">
        <f>IF(E207="Nail Tech",F207,F207*Settings!$B$2)</f>
        <v>0</v>
      </c>
    </row>
    <row r="208" spans="1:8">
      <c r="A208" s="2">
        <v>45678</v>
      </c>
      <c r="B208" t="s">
        <v>53</v>
      </c>
      <c r="C208" t="s">
        <v>17</v>
      </c>
      <c r="D208" t="s">
        <v>3</v>
      </c>
      <c r="E208" t="s">
        <v>56</v>
      </c>
      <c r="F208">
        <v>1999</v>
      </c>
      <c r="G208">
        <f>IF(E208="Nail Tech",0,F208*Settings!$B$1)</f>
        <v>0</v>
      </c>
      <c r="H208">
        <f>IF(E208="Nail Tech",F208,F208*Settings!$B$2)</f>
        <v>0</v>
      </c>
    </row>
    <row r="209" spans="1:8">
      <c r="A209" s="2">
        <v>45679</v>
      </c>
      <c r="B209" t="s">
        <v>47</v>
      </c>
      <c r="C209" t="s">
        <v>6</v>
      </c>
      <c r="D209" t="s">
        <v>3</v>
      </c>
      <c r="E209" t="s">
        <v>55</v>
      </c>
      <c r="F209">
        <v>99</v>
      </c>
      <c r="G209">
        <f>IF(E209="Nail Tech",0,F209*Settings!$B$1)</f>
        <v>0</v>
      </c>
      <c r="H209">
        <f>IF(E209="Nail Tech",F209,F209*Settings!$B$2)</f>
        <v>0</v>
      </c>
    </row>
    <row r="210" spans="1:8">
      <c r="A210" s="2">
        <v>45679</v>
      </c>
      <c r="B210" t="s">
        <v>47</v>
      </c>
      <c r="C210" t="s">
        <v>13</v>
      </c>
      <c r="D210" t="s">
        <v>3</v>
      </c>
      <c r="E210" t="s">
        <v>55</v>
      </c>
      <c r="F210">
        <v>1499</v>
      </c>
      <c r="G210">
        <f>IF(E210="Nail Tech",0,F210*Settings!$B$1)</f>
        <v>0</v>
      </c>
      <c r="H210">
        <f>IF(E210="Nail Tech",F210,F210*Settings!$B$2)</f>
        <v>0</v>
      </c>
    </row>
    <row r="211" spans="1:8">
      <c r="A211" s="2">
        <v>45679</v>
      </c>
      <c r="B211" t="s">
        <v>47</v>
      </c>
      <c r="C211" t="s">
        <v>6</v>
      </c>
      <c r="D211" t="s">
        <v>3</v>
      </c>
      <c r="E211" t="s">
        <v>55</v>
      </c>
      <c r="F211">
        <v>99</v>
      </c>
      <c r="G211">
        <f>IF(E211="Nail Tech",0,F211*Settings!$B$1)</f>
        <v>0</v>
      </c>
      <c r="H211">
        <f>IF(E211="Nail Tech",F211,F211*Settings!$B$2)</f>
        <v>0</v>
      </c>
    </row>
    <row r="212" spans="1:8">
      <c r="A212" s="2">
        <v>45679</v>
      </c>
      <c r="B212" t="s">
        <v>47</v>
      </c>
      <c r="C212" t="s">
        <v>7</v>
      </c>
      <c r="D212" t="s">
        <v>3</v>
      </c>
      <c r="E212" t="s">
        <v>56</v>
      </c>
      <c r="F212">
        <v>149</v>
      </c>
      <c r="G212">
        <f>IF(E212="Nail Tech",0,F212*Settings!$B$1)</f>
        <v>0</v>
      </c>
      <c r="H212">
        <f>IF(E212="Nail Tech",F212,F212*Settings!$B$2)</f>
        <v>0</v>
      </c>
    </row>
    <row r="213" spans="1:8">
      <c r="A213" s="2">
        <v>45679</v>
      </c>
      <c r="B213" t="s">
        <v>47</v>
      </c>
      <c r="C213" t="s">
        <v>12</v>
      </c>
      <c r="D213" t="s">
        <v>3</v>
      </c>
      <c r="E213" t="s">
        <v>55</v>
      </c>
      <c r="F213">
        <v>699</v>
      </c>
      <c r="G213">
        <f>IF(E213="Nail Tech",0,F213*Settings!$B$1)</f>
        <v>0</v>
      </c>
      <c r="H213">
        <f>IF(E213="Nail Tech",F213,F213*Settings!$B$2)</f>
        <v>0</v>
      </c>
    </row>
    <row r="214" spans="1:8">
      <c r="A214" s="2">
        <v>45679</v>
      </c>
      <c r="B214" t="s">
        <v>47</v>
      </c>
      <c r="C214" t="s">
        <v>6</v>
      </c>
      <c r="D214" t="s">
        <v>3</v>
      </c>
      <c r="E214" t="s">
        <v>55</v>
      </c>
      <c r="F214">
        <v>99</v>
      </c>
      <c r="G214">
        <f>IF(E214="Nail Tech",0,F214*Settings!$B$1)</f>
        <v>0</v>
      </c>
      <c r="H214">
        <f>IF(E214="Nail Tech",F214,F214*Settings!$B$2)</f>
        <v>0</v>
      </c>
    </row>
    <row r="215" spans="1:8">
      <c r="A215" s="2">
        <v>45679</v>
      </c>
      <c r="B215" t="s">
        <v>47</v>
      </c>
      <c r="C215" t="s">
        <v>6</v>
      </c>
      <c r="D215" t="s">
        <v>3</v>
      </c>
      <c r="E215" t="s">
        <v>56</v>
      </c>
      <c r="F215">
        <v>99</v>
      </c>
      <c r="G215">
        <f>IF(E215="Nail Tech",0,F215*Settings!$B$1)</f>
        <v>0</v>
      </c>
      <c r="H215">
        <f>IF(E215="Nail Tech",F215,F215*Settings!$B$2)</f>
        <v>0</v>
      </c>
    </row>
    <row r="216" spans="1:8">
      <c r="A216" s="2">
        <v>45679</v>
      </c>
      <c r="B216" t="s">
        <v>47</v>
      </c>
      <c r="C216" t="s">
        <v>23</v>
      </c>
      <c r="D216" t="s">
        <v>3</v>
      </c>
      <c r="E216" t="s">
        <v>55</v>
      </c>
      <c r="F216">
        <v>100</v>
      </c>
      <c r="G216">
        <f>IF(E216="Nail Tech",0,F216*Settings!$B$1)</f>
        <v>0</v>
      </c>
      <c r="H216">
        <f>IF(E216="Nail Tech",F216,F216*Settings!$B$2)</f>
        <v>0</v>
      </c>
    </row>
    <row r="217" spans="1:8">
      <c r="A217" s="2">
        <v>45680</v>
      </c>
      <c r="B217" t="s">
        <v>48</v>
      </c>
      <c r="C217" t="s">
        <v>7</v>
      </c>
      <c r="D217" t="s">
        <v>3</v>
      </c>
      <c r="E217" t="s">
        <v>56</v>
      </c>
      <c r="F217">
        <v>149</v>
      </c>
      <c r="G217">
        <f>IF(E217="Nail Tech",0,F217*Settings!$B$1)</f>
        <v>0</v>
      </c>
      <c r="H217">
        <f>IF(E217="Nail Tech",F217,F217*Settings!$B$2)</f>
        <v>0</v>
      </c>
    </row>
    <row r="218" spans="1:8">
      <c r="A218" s="2">
        <v>45680</v>
      </c>
      <c r="B218" t="s">
        <v>48</v>
      </c>
      <c r="C218" t="s">
        <v>7</v>
      </c>
      <c r="D218" t="s">
        <v>3</v>
      </c>
      <c r="E218" t="s">
        <v>55</v>
      </c>
      <c r="F218">
        <v>149</v>
      </c>
      <c r="G218">
        <f>IF(E218="Nail Tech",0,F218*Settings!$B$1)</f>
        <v>0</v>
      </c>
      <c r="H218">
        <f>IF(E218="Nail Tech",F218,F218*Settings!$B$2)</f>
        <v>0</v>
      </c>
    </row>
    <row r="219" spans="1:8">
      <c r="A219" s="2">
        <v>45680</v>
      </c>
      <c r="B219" t="s">
        <v>48</v>
      </c>
      <c r="C219" t="s">
        <v>9</v>
      </c>
      <c r="D219" t="s">
        <v>3</v>
      </c>
      <c r="E219" t="s">
        <v>56</v>
      </c>
      <c r="F219">
        <v>349</v>
      </c>
      <c r="G219">
        <f>IF(E219="Nail Tech",0,F219*Settings!$B$1)</f>
        <v>0</v>
      </c>
      <c r="H219">
        <f>IF(E219="Nail Tech",F219,F219*Settings!$B$2)</f>
        <v>0</v>
      </c>
    </row>
    <row r="220" spans="1:8">
      <c r="A220" s="2">
        <v>45680</v>
      </c>
      <c r="B220" t="s">
        <v>48</v>
      </c>
      <c r="C220" t="s">
        <v>6</v>
      </c>
      <c r="D220" t="s">
        <v>3</v>
      </c>
      <c r="E220" t="s">
        <v>55</v>
      </c>
      <c r="F220">
        <v>99</v>
      </c>
      <c r="G220">
        <f>IF(E220="Nail Tech",0,F220*Settings!$B$1)</f>
        <v>0</v>
      </c>
      <c r="H220">
        <f>IF(E220="Nail Tech",F220,F220*Settings!$B$2)</f>
        <v>0</v>
      </c>
    </row>
    <row r="221" spans="1:8">
      <c r="A221" s="2">
        <v>45680</v>
      </c>
      <c r="B221" t="s">
        <v>48</v>
      </c>
      <c r="C221" t="s">
        <v>23</v>
      </c>
      <c r="D221" t="s">
        <v>3</v>
      </c>
      <c r="E221" t="s">
        <v>55</v>
      </c>
      <c r="F221">
        <v>100</v>
      </c>
      <c r="G221">
        <f>IF(E221="Nail Tech",0,F221*Settings!$B$1)</f>
        <v>0</v>
      </c>
      <c r="H221">
        <f>IF(E221="Nail Tech",F221,F221*Settings!$B$2)</f>
        <v>0</v>
      </c>
    </row>
    <row r="222" spans="1:8">
      <c r="A222" s="2">
        <v>45681</v>
      </c>
      <c r="B222" t="s">
        <v>49</v>
      </c>
      <c r="C222" t="s">
        <v>18</v>
      </c>
      <c r="D222" t="s">
        <v>3</v>
      </c>
      <c r="E222" t="s">
        <v>56</v>
      </c>
      <c r="F222">
        <v>1499</v>
      </c>
      <c r="G222">
        <f>IF(E222="Nail Tech",0,F222*Settings!$B$1)</f>
        <v>0</v>
      </c>
      <c r="H222">
        <f>IF(E222="Nail Tech",F222,F222*Settings!$B$2)</f>
        <v>0</v>
      </c>
    </row>
    <row r="223" spans="1:8">
      <c r="A223" s="2">
        <v>45681</v>
      </c>
      <c r="B223" t="s">
        <v>49</v>
      </c>
      <c r="C223" t="s">
        <v>6</v>
      </c>
      <c r="D223" t="s">
        <v>3</v>
      </c>
      <c r="E223" t="s">
        <v>55</v>
      </c>
      <c r="F223">
        <v>99</v>
      </c>
      <c r="G223">
        <f>IF(E223="Nail Tech",0,F223*Settings!$B$1)</f>
        <v>0</v>
      </c>
      <c r="H223">
        <f>IF(E223="Nail Tech",F223,F223*Settings!$B$2)</f>
        <v>0</v>
      </c>
    </row>
    <row r="224" spans="1:8">
      <c r="A224" s="2">
        <v>45681</v>
      </c>
      <c r="B224" t="s">
        <v>49</v>
      </c>
      <c r="C224" t="s">
        <v>11</v>
      </c>
      <c r="D224" t="s">
        <v>3</v>
      </c>
      <c r="E224" t="s">
        <v>55</v>
      </c>
      <c r="F224">
        <v>499</v>
      </c>
      <c r="G224">
        <f>IF(E224="Nail Tech",0,F224*Settings!$B$1)</f>
        <v>0</v>
      </c>
      <c r="H224">
        <f>IF(E224="Nail Tech",F224,F224*Settings!$B$2)</f>
        <v>0</v>
      </c>
    </row>
    <row r="225" spans="1:8">
      <c r="A225" s="2">
        <v>45681</v>
      </c>
      <c r="B225" t="s">
        <v>49</v>
      </c>
      <c r="C225" t="s">
        <v>20</v>
      </c>
      <c r="D225" t="s">
        <v>3</v>
      </c>
      <c r="E225" t="s">
        <v>55</v>
      </c>
      <c r="F225">
        <v>1499</v>
      </c>
      <c r="G225">
        <f>IF(E225="Nail Tech",0,F225*Settings!$B$1)</f>
        <v>0</v>
      </c>
      <c r="H225">
        <f>IF(E225="Nail Tech",F225,F225*Settings!$B$2)</f>
        <v>0</v>
      </c>
    </row>
    <row r="226" spans="1:8">
      <c r="A226" s="2">
        <v>45681</v>
      </c>
      <c r="B226" t="s">
        <v>49</v>
      </c>
      <c r="C226" t="s">
        <v>9</v>
      </c>
      <c r="D226" t="s">
        <v>3</v>
      </c>
      <c r="E226" t="s">
        <v>55</v>
      </c>
      <c r="F226">
        <v>349</v>
      </c>
      <c r="G226">
        <f>IF(E226="Nail Tech",0,F226*Settings!$B$1)</f>
        <v>0</v>
      </c>
      <c r="H226">
        <f>IF(E226="Nail Tech",F226,F226*Settings!$B$2)</f>
        <v>0</v>
      </c>
    </row>
    <row r="227" spans="1:8">
      <c r="A227" s="2">
        <v>45681</v>
      </c>
      <c r="B227" t="s">
        <v>49</v>
      </c>
      <c r="C227" t="s">
        <v>9</v>
      </c>
      <c r="D227" t="s">
        <v>3</v>
      </c>
      <c r="E227" t="s">
        <v>55</v>
      </c>
      <c r="F227">
        <v>349</v>
      </c>
      <c r="G227">
        <f>IF(E227="Nail Tech",0,F227*Settings!$B$1)</f>
        <v>0</v>
      </c>
      <c r="H227">
        <f>IF(E227="Nail Tech",F227,F227*Settings!$B$2)</f>
        <v>0</v>
      </c>
    </row>
    <row r="228" spans="1:8">
      <c r="A228" s="2">
        <v>45681</v>
      </c>
      <c r="B228" t="s">
        <v>49</v>
      </c>
      <c r="C228" t="s">
        <v>8</v>
      </c>
      <c r="D228" t="s">
        <v>3</v>
      </c>
      <c r="E228" t="s">
        <v>55</v>
      </c>
      <c r="F228">
        <v>199</v>
      </c>
      <c r="G228">
        <f>IF(E228="Nail Tech",0,F228*Settings!$B$1)</f>
        <v>0</v>
      </c>
      <c r="H228">
        <f>IF(E228="Nail Tech",F228,F228*Settings!$B$2)</f>
        <v>0</v>
      </c>
    </row>
    <row r="229" spans="1:8">
      <c r="A229" s="2">
        <v>45682</v>
      </c>
      <c r="B229" t="s">
        <v>50</v>
      </c>
      <c r="C229" t="s">
        <v>25</v>
      </c>
      <c r="D229" t="s">
        <v>4</v>
      </c>
      <c r="E229" t="s">
        <v>54</v>
      </c>
      <c r="F229">
        <v>119</v>
      </c>
      <c r="G229">
        <f>IF(E229="Nail Tech",0,F229*Settings!$B$1)</f>
        <v>0</v>
      </c>
      <c r="H229">
        <f>IF(E229="Nail Tech",F229,F229*Settings!$B$2)</f>
        <v>0</v>
      </c>
    </row>
    <row r="230" spans="1:8">
      <c r="A230" s="2">
        <v>45682</v>
      </c>
      <c r="B230" t="s">
        <v>50</v>
      </c>
      <c r="C230" t="s">
        <v>25</v>
      </c>
      <c r="D230" t="s">
        <v>4</v>
      </c>
      <c r="E230" t="s">
        <v>54</v>
      </c>
      <c r="F230">
        <v>119</v>
      </c>
      <c r="G230">
        <f>IF(E230="Nail Tech",0,F230*Settings!$B$1)</f>
        <v>0</v>
      </c>
      <c r="H230">
        <f>IF(E230="Nail Tech",F230,F230*Settings!$B$2)</f>
        <v>0</v>
      </c>
    </row>
    <row r="231" spans="1:8">
      <c r="A231" s="2">
        <v>45682</v>
      </c>
      <c r="B231" t="s">
        <v>50</v>
      </c>
      <c r="C231" t="s">
        <v>7</v>
      </c>
      <c r="D231" t="s">
        <v>3</v>
      </c>
      <c r="E231" t="s">
        <v>55</v>
      </c>
      <c r="F231">
        <v>149</v>
      </c>
      <c r="G231">
        <f>IF(E231="Nail Tech",0,F231*Settings!$B$1)</f>
        <v>0</v>
      </c>
      <c r="H231">
        <f>IF(E231="Nail Tech",F231,F231*Settings!$B$2)</f>
        <v>0</v>
      </c>
    </row>
    <row r="232" spans="1:8">
      <c r="A232" s="2">
        <v>45682</v>
      </c>
      <c r="B232" t="s">
        <v>50</v>
      </c>
      <c r="C232" t="s">
        <v>16</v>
      </c>
      <c r="D232" t="s">
        <v>3</v>
      </c>
      <c r="E232" t="s">
        <v>56</v>
      </c>
      <c r="F232">
        <v>3199</v>
      </c>
      <c r="G232">
        <f>IF(E232="Nail Tech",0,F232*Settings!$B$1)</f>
        <v>0</v>
      </c>
      <c r="H232">
        <f>IF(E232="Nail Tech",F232,F232*Settings!$B$2)</f>
        <v>0</v>
      </c>
    </row>
    <row r="233" spans="1:8">
      <c r="A233" s="2">
        <v>45682</v>
      </c>
      <c r="B233" t="s">
        <v>50</v>
      </c>
      <c r="C233" t="s">
        <v>7</v>
      </c>
      <c r="D233" t="s">
        <v>3</v>
      </c>
      <c r="E233" t="s">
        <v>55</v>
      </c>
      <c r="F233">
        <v>149</v>
      </c>
      <c r="G233">
        <f>IF(E233="Nail Tech",0,F233*Settings!$B$1)</f>
        <v>0</v>
      </c>
      <c r="H233">
        <f>IF(E233="Nail Tech",F233,F233*Settings!$B$2)</f>
        <v>0</v>
      </c>
    </row>
    <row r="234" spans="1:8">
      <c r="A234" s="2">
        <v>45682</v>
      </c>
      <c r="B234" t="s">
        <v>50</v>
      </c>
      <c r="C234" t="s">
        <v>25</v>
      </c>
      <c r="D234" t="s">
        <v>4</v>
      </c>
      <c r="E234" t="s">
        <v>54</v>
      </c>
      <c r="F234">
        <v>119</v>
      </c>
      <c r="G234">
        <f>IF(E234="Nail Tech",0,F234*Settings!$B$1)</f>
        <v>0</v>
      </c>
      <c r="H234">
        <f>IF(E234="Nail Tech",F234,F234*Settings!$B$2)</f>
        <v>0</v>
      </c>
    </row>
    <row r="235" spans="1:8">
      <c r="A235" s="2">
        <v>45682</v>
      </c>
      <c r="B235" t="s">
        <v>50</v>
      </c>
      <c r="C235" t="s">
        <v>23</v>
      </c>
      <c r="D235" t="s">
        <v>3</v>
      </c>
      <c r="E235" t="s">
        <v>55</v>
      </c>
      <c r="F235">
        <v>100</v>
      </c>
      <c r="G235">
        <f>IF(E235="Nail Tech",0,F235*Settings!$B$1)</f>
        <v>0</v>
      </c>
      <c r="H235">
        <f>IF(E235="Nail Tech",F235,F235*Settings!$B$2)</f>
        <v>0</v>
      </c>
    </row>
    <row r="236" spans="1:8">
      <c r="A236" s="2">
        <v>45682</v>
      </c>
      <c r="B236" t="s">
        <v>50</v>
      </c>
      <c r="C236" t="s">
        <v>25</v>
      </c>
      <c r="D236" t="s">
        <v>4</v>
      </c>
      <c r="E236" t="s">
        <v>54</v>
      </c>
      <c r="F236">
        <v>119</v>
      </c>
      <c r="G236">
        <f>IF(E236="Nail Tech",0,F236*Settings!$B$1)</f>
        <v>0</v>
      </c>
      <c r="H236">
        <f>IF(E236="Nail Tech",F236,F236*Settings!$B$2)</f>
        <v>0</v>
      </c>
    </row>
    <row r="237" spans="1:8">
      <c r="A237" s="2">
        <v>45682</v>
      </c>
      <c r="B237" t="s">
        <v>50</v>
      </c>
      <c r="C237" t="s">
        <v>7</v>
      </c>
      <c r="D237" t="s">
        <v>3</v>
      </c>
      <c r="E237" t="s">
        <v>56</v>
      </c>
      <c r="F237">
        <v>149</v>
      </c>
      <c r="G237">
        <f>IF(E237="Nail Tech",0,F237*Settings!$B$1)</f>
        <v>0</v>
      </c>
      <c r="H237">
        <f>IF(E237="Nail Tech",F237,F237*Settings!$B$2)</f>
        <v>0</v>
      </c>
    </row>
    <row r="238" spans="1:8">
      <c r="A238" s="2">
        <v>45682</v>
      </c>
      <c r="B238" t="s">
        <v>50</v>
      </c>
      <c r="C238" t="s">
        <v>11</v>
      </c>
      <c r="D238" t="s">
        <v>3</v>
      </c>
      <c r="E238" t="s">
        <v>55</v>
      </c>
      <c r="F238">
        <v>499</v>
      </c>
      <c r="G238">
        <f>IF(E238="Nail Tech",0,F238*Settings!$B$1)</f>
        <v>0</v>
      </c>
      <c r="H238">
        <f>IF(E238="Nail Tech",F238,F238*Settings!$B$2)</f>
        <v>0</v>
      </c>
    </row>
    <row r="239" spans="1:8">
      <c r="A239" s="2">
        <v>45682</v>
      </c>
      <c r="B239" t="s">
        <v>50</v>
      </c>
      <c r="C239" t="s">
        <v>11</v>
      </c>
      <c r="D239" t="s">
        <v>3</v>
      </c>
      <c r="E239" t="s">
        <v>56</v>
      </c>
      <c r="F239">
        <v>499</v>
      </c>
      <c r="G239">
        <f>IF(E239="Nail Tech",0,F239*Settings!$B$1)</f>
        <v>0</v>
      </c>
      <c r="H239">
        <f>IF(E239="Nail Tech",F239,F239*Settings!$B$2)</f>
        <v>0</v>
      </c>
    </row>
    <row r="240" spans="1:8">
      <c r="A240" s="2">
        <v>45682</v>
      </c>
      <c r="B240" t="s">
        <v>50</v>
      </c>
      <c r="C240" t="s">
        <v>7</v>
      </c>
      <c r="D240" t="s">
        <v>3</v>
      </c>
      <c r="E240" t="s">
        <v>56</v>
      </c>
      <c r="F240">
        <v>149</v>
      </c>
      <c r="G240">
        <f>IF(E240="Nail Tech",0,F240*Settings!$B$1)</f>
        <v>0</v>
      </c>
      <c r="H240">
        <f>IF(E240="Nail Tech",F240,F240*Settings!$B$2)</f>
        <v>0</v>
      </c>
    </row>
    <row r="241" spans="1:8">
      <c r="A241" s="2">
        <v>45682</v>
      </c>
      <c r="B241" t="s">
        <v>50</v>
      </c>
      <c r="C241" t="s">
        <v>7</v>
      </c>
      <c r="D241" t="s">
        <v>3</v>
      </c>
      <c r="E241" t="s">
        <v>55</v>
      </c>
      <c r="F241">
        <v>149</v>
      </c>
      <c r="G241">
        <f>IF(E241="Nail Tech",0,F241*Settings!$B$1)</f>
        <v>0</v>
      </c>
      <c r="H241">
        <f>IF(E241="Nail Tech",F241,F241*Settings!$B$2)</f>
        <v>0</v>
      </c>
    </row>
    <row r="242" spans="1:8">
      <c r="A242" s="2">
        <v>45683</v>
      </c>
      <c r="B242" t="s">
        <v>51</v>
      </c>
      <c r="C242" t="s">
        <v>6</v>
      </c>
      <c r="D242" t="s">
        <v>3</v>
      </c>
      <c r="E242" t="s">
        <v>56</v>
      </c>
      <c r="F242">
        <v>99</v>
      </c>
      <c r="G242">
        <f>IF(E242="Nail Tech",0,F242*Settings!$B$1)</f>
        <v>0</v>
      </c>
      <c r="H242">
        <f>IF(E242="Nail Tech",F242,F242*Settings!$B$2)</f>
        <v>0</v>
      </c>
    </row>
    <row r="243" spans="1:8">
      <c r="A243" s="2">
        <v>45683</v>
      </c>
      <c r="B243" t="s">
        <v>51</v>
      </c>
      <c r="C243" t="s">
        <v>9</v>
      </c>
      <c r="D243" t="s">
        <v>3</v>
      </c>
      <c r="E243" t="s">
        <v>55</v>
      </c>
      <c r="F243">
        <v>349</v>
      </c>
      <c r="G243">
        <f>IF(E243="Nail Tech",0,F243*Settings!$B$1)</f>
        <v>0</v>
      </c>
      <c r="H243">
        <f>IF(E243="Nail Tech",F243,F243*Settings!$B$2)</f>
        <v>0</v>
      </c>
    </row>
    <row r="244" spans="1:8">
      <c r="A244" s="2">
        <v>45683</v>
      </c>
      <c r="B244" t="s">
        <v>51</v>
      </c>
      <c r="C244" t="s">
        <v>11</v>
      </c>
      <c r="D244" t="s">
        <v>3</v>
      </c>
      <c r="E244" t="s">
        <v>55</v>
      </c>
      <c r="F244">
        <v>499</v>
      </c>
      <c r="G244">
        <f>IF(E244="Nail Tech",0,F244*Settings!$B$1)</f>
        <v>0</v>
      </c>
      <c r="H244">
        <f>IF(E244="Nail Tech",F244,F244*Settings!$B$2)</f>
        <v>0</v>
      </c>
    </row>
    <row r="245" spans="1:8">
      <c r="A245" s="2">
        <v>45683</v>
      </c>
      <c r="B245" t="s">
        <v>51</v>
      </c>
      <c r="C245" t="s">
        <v>6</v>
      </c>
      <c r="D245" t="s">
        <v>3</v>
      </c>
      <c r="E245" t="s">
        <v>55</v>
      </c>
      <c r="F245">
        <v>99</v>
      </c>
      <c r="G245">
        <f>IF(E245="Nail Tech",0,F245*Settings!$B$1)</f>
        <v>0</v>
      </c>
      <c r="H245">
        <f>IF(E245="Nail Tech",F245,F245*Settings!$B$2)</f>
        <v>0</v>
      </c>
    </row>
    <row r="246" spans="1:8">
      <c r="A246" s="2">
        <v>45683</v>
      </c>
      <c r="B246" t="s">
        <v>51</v>
      </c>
      <c r="C246" t="s">
        <v>8</v>
      </c>
      <c r="D246" t="s">
        <v>3</v>
      </c>
      <c r="E246" t="s">
        <v>55</v>
      </c>
      <c r="F246">
        <v>199</v>
      </c>
      <c r="G246">
        <f>IF(E246="Nail Tech",0,F246*Settings!$B$1)</f>
        <v>0</v>
      </c>
      <c r="H246">
        <f>IF(E246="Nail Tech",F246,F246*Settings!$B$2)</f>
        <v>0</v>
      </c>
    </row>
    <row r="247" spans="1:8">
      <c r="A247" s="2">
        <v>45683</v>
      </c>
      <c r="B247" t="s">
        <v>51</v>
      </c>
      <c r="C247" t="s">
        <v>10</v>
      </c>
      <c r="D247" t="s">
        <v>3</v>
      </c>
      <c r="E247" t="s">
        <v>55</v>
      </c>
      <c r="F247">
        <v>499</v>
      </c>
      <c r="G247">
        <f>IF(E247="Nail Tech",0,F247*Settings!$B$1)</f>
        <v>0</v>
      </c>
      <c r="H247">
        <f>IF(E247="Nail Tech",F247,F247*Settings!$B$2)</f>
        <v>0</v>
      </c>
    </row>
    <row r="248" spans="1:8">
      <c r="A248" s="2">
        <v>45683</v>
      </c>
      <c r="B248" t="s">
        <v>51</v>
      </c>
      <c r="C248" t="s">
        <v>13</v>
      </c>
      <c r="D248" t="s">
        <v>3</v>
      </c>
      <c r="E248" t="s">
        <v>56</v>
      </c>
      <c r="F248">
        <v>1499</v>
      </c>
      <c r="G248">
        <f>IF(E248="Nail Tech",0,F248*Settings!$B$1)</f>
        <v>0</v>
      </c>
      <c r="H248">
        <f>IF(E248="Nail Tech",F248,F248*Settings!$B$2)</f>
        <v>0</v>
      </c>
    </row>
    <row r="249" spans="1:8">
      <c r="A249" s="2">
        <v>45683</v>
      </c>
      <c r="B249" t="s">
        <v>51</v>
      </c>
      <c r="C249" t="s">
        <v>26</v>
      </c>
      <c r="D249" t="s">
        <v>4</v>
      </c>
      <c r="E249" t="s">
        <v>54</v>
      </c>
      <c r="F249">
        <v>149</v>
      </c>
      <c r="G249">
        <f>IF(E249="Nail Tech",0,F249*Settings!$B$1)</f>
        <v>0</v>
      </c>
      <c r="H249">
        <f>IF(E249="Nail Tech",F249,F249*Settings!$B$2)</f>
        <v>0</v>
      </c>
    </row>
    <row r="250" spans="1:8">
      <c r="A250" s="2">
        <v>45683</v>
      </c>
      <c r="B250" t="s">
        <v>51</v>
      </c>
      <c r="C250" t="s">
        <v>23</v>
      </c>
      <c r="D250" t="s">
        <v>3</v>
      </c>
      <c r="E250" t="s">
        <v>56</v>
      </c>
      <c r="F250">
        <v>100</v>
      </c>
      <c r="G250">
        <f>IF(E250="Nail Tech",0,F250*Settings!$B$1)</f>
        <v>0</v>
      </c>
      <c r="H250">
        <f>IF(E250="Nail Tech",F250,F250*Settings!$B$2)</f>
        <v>0</v>
      </c>
    </row>
    <row r="251" spans="1:8">
      <c r="A251" s="2">
        <v>45683</v>
      </c>
      <c r="B251" t="s">
        <v>51</v>
      </c>
      <c r="C251" t="s">
        <v>25</v>
      </c>
      <c r="D251" t="s">
        <v>4</v>
      </c>
      <c r="E251" t="s">
        <v>54</v>
      </c>
      <c r="F251">
        <v>119</v>
      </c>
      <c r="G251">
        <f>IF(E251="Nail Tech",0,F251*Settings!$B$1)</f>
        <v>0</v>
      </c>
      <c r="H251">
        <f>IF(E251="Nail Tech",F251,F251*Settings!$B$2)</f>
        <v>0</v>
      </c>
    </row>
    <row r="252" spans="1:8">
      <c r="A252" s="2">
        <v>45684</v>
      </c>
      <c r="B252" t="s">
        <v>52</v>
      </c>
      <c r="C252" t="s">
        <v>23</v>
      </c>
      <c r="D252" t="s">
        <v>3</v>
      </c>
      <c r="E252" t="s">
        <v>55</v>
      </c>
      <c r="F252">
        <v>100</v>
      </c>
      <c r="G252">
        <f>IF(E252="Nail Tech",0,F252*Settings!$B$1)</f>
        <v>0</v>
      </c>
      <c r="H252">
        <f>IF(E252="Nail Tech",F252,F252*Settings!$B$2)</f>
        <v>0</v>
      </c>
    </row>
    <row r="253" spans="1:8">
      <c r="A253" s="2">
        <v>45684</v>
      </c>
      <c r="B253" t="s">
        <v>52</v>
      </c>
      <c r="C253" t="s">
        <v>21</v>
      </c>
      <c r="D253" t="s">
        <v>3</v>
      </c>
      <c r="E253" t="s">
        <v>55</v>
      </c>
      <c r="F253">
        <v>1999</v>
      </c>
      <c r="G253">
        <f>IF(E253="Nail Tech",0,F253*Settings!$B$1)</f>
        <v>0</v>
      </c>
      <c r="H253">
        <f>IF(E253="Nail Tech",F253,F253*Settings!$B$2)</f>
        <v>0</v>
      </c>
    </row>
    <row r="254" spans="1:8">
      <c r="A254" s="2">
        <v>45684</v>
      </c>
      <c r="B254" t="s">
        <v>52</v>
      </c>
      <c r="C254" t="s">
        <v>8</v>
      </c>
      <c r="D254" t="s">
        <v>3</v>
      </c>
      <c r="E254" t="s">
        <v>55</v>
      </c>
      <c r="F254">
        <v>199</v>
      </c>
      <c r="G254">
        <f>IF(E254="Nail Tech",0,F254*Settings!$B$1)</f>
        <v>0</v>
      </c>
      <c r="H254">
        <f>IF(E254="Nail Tech",F254,F254*Settings!$B$2)</f>
        <v>0</v>
      </c>
    </row>
    <row r="255" spans="1:8">
      <c r="A255" s="2">
        <v>45684</v>
      </c>
      <c r="B255" t="s">
        <v>52</v>
      </c>
      <c r="C255" t="s">
        <v>32</v>
      </c>
      <c r="D255" t="s">
        <v>4</v>
      </c>
      <c r="E255" t="s">
        <v>54</v>
      </c>
      <c r="F255">
        <v>399</v>
      </c>
      <c r="G255">
        <f>IF(E255="Nail Tech",0,F255*Settings!$B$1)</f>
        <v>0</v>
      </c>
      <c r="H255">
        <f>IF(E255="Nail Tech",F255,F255*Settings!$B$2)</f>
        <v>0</v>
      </c>
    </row>
    <row r="256" spans="1:8">
      <c r="A256" s="2">
        <v>45684</v>
      </c>
      <c r="B256" t="s">
        <v>52</v>
      </c>
      <c r="C256" t="s">
        <v>25</v>
      </c>
      <c r="D256" t="s">
        <v>4</v>
      </c>
      <c r="E256" t="s">
        <v>54</v>
      </c>
      <c r="F256">
        <v>119</v>
      </c>
      <c r="G256">
        <f>IF(E256="Nail Tech",0,F256*Settings!$B$1)</f>
        <v>0</v>
      </c>
      <c r="H256">
        <f>IF(E256="Nail Tech",F256,F256*Settings!$B$2)</f>
        <v>0</v>
      </c>
    </row>
    <row r="257" spans="1:8">
      <c r="A257" s="2">
        <v>45684</v>
      </c>
      <c r="B257" t="s">
        <v>52</v>
      </c>
      <c r="C257" t="s">
        <v>33</v>
      </c>
      <c r="D257" t="s">
        <v>4</v>
      </c>
      <c r="E257" t="s">
        <v>54</v>
      </c>
      <c r="F257">
        <v>399</v>
      </c>
      <c r="G257">
        <f>IF(E257="Nail Tech",0,F257*Settings!$B$1)</f>
        <v>0</v>
      </c>
      <c r="H257">
        <f>IF(E257="Nail Tech",F257,F257*Settings!$B$2)</f>
        <v>0</v>
      </c>
    </row>
    <row r="258" spans="1:8">
      <c r="A258" s="2">
        <v>45685</v>
      </c>
      <c r="B258" t="s">
        <v>53</v>
      </c>
      <c r="C258" t="s">
        <v>26</v>
      </c>
      <c r="D258" t="s">
        <v>4</v>
      </c>
      <c r="E258" t="s">
        <v>54</v>
      </c>
      <c r="F258">
        <v>149</v>
      </c>
      <c r="G258">
        <f>IF(E258="Nail Tech",0,F258*Settings!$B$1)</f>
        <v>0</v>
      </c>
      <c r="H258">
        <f>IF(E258="Nail Tech",F258,F258*Settings!$B$2)</f>
        <v>0</v>
      </c>
    </row>
    <row r="259" spans="1:8">
      <c r="A259" s="2">
        <v>45685</v>
      </c>
      <c r="B259" t="s">
        <v>53</v>
      </c>
      <c r="C259" t="s">
        <v>9</v>
      </c>
      <c r="D259" t="s">
        <v>3</v>
      </c>
      <c r="E259" t="s">
        <v>55</v>
      </c>
      <c r="F259">
        <v>349</v>
      </c>
      <c r="G259">
        <f>IF(E259="Nail Tech",0,F259*Settings!$B$1)</f>
        <v>0</v>
      </c>
      <c r="H259">
        <f>IF(E259="Nail Tech",F259,F259*Settings!$B$2)</f>
        <v>0</v>
      </c>
    </row>
    <row r="260" spans="1:8">
      <c r="A260" s="2">
        <v>45685</v>
      </c>
      <c r="B260" t="s">
        <v>53</v>
      </c>
      <c r="C260" t="s">
        <v>6</v>
      </c>
      <c r="D260" t="s">
        <v>3</v>
      </c>
      <c r="E260" t="s">
        <v>56</v>
      </c>
      <c r="F260">
        <v>99</v>
      </c>
      <c r="G260">
        <f>IF(E260="Nail Tech",0,F260*Settings!$B$1)</f>
        <v>0</v>
      </c>
      <c r="H260">
        <f>IF(E260="Nail Tech",F260,F260*Settings!$B$2)</f>
        <v>0</v>
      </c>
    </row>
    <row r="261" spans="1:8">
      <c r="A261" s="2">
        <v>45685</v>
      </c>
      <c r="B261" t="s">
        <v>53</v>
      </c>
      <c r="C261" t="s">
        <v>27</v>
      </c>
      <c r="D261" t="s">
        <v>4</v>
      </c>
      <c r="E261" t="s">
        <v>54</v>
      </c>
      <c r="F261">
        <v>269</v>
      </c>
      <c r="G261">
        <f>IF(E261="Nail Tech",0,F261*Settings!$B$1)</f>
        <v>0</v>
      </c>
      <c r="H261">
        <f>IF(E261="Nail Tech",F261,F261*Settings!$B$2)</f>
        <v>0</v>
      </c>
    </row>
    <row r="262" spans="1:8">
      <c r="A262" s="2">
        <v>45685</v>
      </c>
      <c r="B262" t="s">
        <v>53</v>
      </c>
      <c r="C262" t="s">
        <v>25</v>
      </c>
      <c r="D262" t="s">
        <v>4</v>
      </c>
      <c r="E262" t="s">
        <v>54</v>
      </c>
      <c r="F262">
        <v>119</v>
      </c>
      <c r="G262">
        <f>IF(E262="Nail Tech",0,F262*Settings!$B$1)</f>
        <v>0</v>
      </c>
      <c r="H262">
        <f>IF(E262="Nail Tech",F262,F262*Settings!$B$2)</f>
        <v>0</v>
      </c>
    </row>
    <row r="263" spans="1:8">
      <c r="A263" s="2">
        <v>45685</v>
      </c>
      <c r="B263" t="s">
        <v>53</v>
      </c>
      <c r="C263" t="s">
        <v>20</v>
      </c>
      <c r="D263" t="s">
        <v>3</v>
      </c>
      <c r="E263" t="s">
        <v>55</v>
      </c>
      <c r="F263">
        <v>1499</v>
      </c>
      <c r="G263">
        <f>IF(E263="Nail Tech",0,F263*Settings!$B$1)</f>
        <v>0</v>
      </c>
      <c r="H263">
        <f>IF(E263="Nail Tech",F263,F263*Settings!$B$2)</f>
        <v>0</v>
      </c>
    </row>
    <row r="264" spans="1:8">
      <c r="A264" s="2">
        <v>45685</v>
      </c>
      <c r="B264" t="s">
        <v>53</v>
      </c>
      <c r="C264" t="s">
        <v>25</v>
      </c>
      <c r="D264" t="s">
        <v>4</v>
      </c>
      <c r="E264" t="s">
        <v>54</v>
      </c>
      <c r="F264">
        <v>119</v>
      </c>
      <c r="G264">
        <f>IF(E264="Nail Tech",0,F264*Settings!$B$1)</f>
        <v>0</v>
      </c>
      <c r="H264">
        <f>IF(E264="Nail Tech",F264,F264*Settings!$B$2)</f>
        <v>0</v>
      </c>
    </row>
    <row r="265" spans="1:8">
      <c r="A265" s="2">
        <v>45686</v>
      </c>
      <c r="B265" t="s">
        <v>47</v>
      </c>
      <c r="C265" t="s">
        <v>23</v>
      </c>
      <c r="D265" t="s">
        <v>3</v>
      </c>
      <c r="E265" t="s">
        <v>55</v>
      </c>
      <c r="F265">
        <v>100</v>
      </c>
      <c r="G265">
        <f>IF(E265="Nail Tech",0,F265*Settings!$B$1)</f>
        <v>0</v>
      </c>
      <c r="H265">
        <f>IF(E265="Nail Tech",F265,F265*Settings!$B$2)</f>
        <v>0</v>
      </c>
    </row>
    <row r="266" spans="1:8">
      <c r="A266" s="2">
        <v>45686</v>
      </c>
      <c r="B266" t="s">
        <v>47</v>
      </c>
      <c r="C266" t="s">
        <v>30</v>
      </c>
      <c r="D266" t="s">
        <v>4</v>
      </c>
      <c r="E266" t="s">
        <v>54</v>
      </c>
      <c r="F266">
        <v>399</v>
      </c>
      <c r="G266">
        <f>IF(E266="Nail Tech",0,F266*Settings!$B$1)</f>
        <v>0</v>
      </c>
      <c r="H266">
        <f>IF(E266="Nail Tech",F266,F266*Settings!$B$2)</f>
        <v>0</v>
      </c>
    </row>
    <row r="267" spans="1:8">
      <c r="A267" s="2">
        <v>45686</v>
      </c>
      <c r="B267" t="s">
        <v>47</v>
      </c>
      <c r="C267" t="s">
        <v>8</v>
      </c>
      <c r="D267" t="s">
        <v>3</v>
      </c>
      <c r="E267" t="s">
        <v>55</v>
      </c>
      <c r="F267">
        <v>199</v>
      </c>
      <c r="G267">
        <f>IF(E267="Nail Tech",0,F267*Settings!$B$1)</f>
        <v>0</v>
      </c>
      <c r="H267">
        <f>IF(E267="Nail Tech",F267,F267*Settings!$B$2)</f>
        <v>0</v>
      </c>
    </row>
    <row r="268" spans="1:8">
      <c r="A268" s="2">
        <v>45686</v>
      </c>
      <c r="B268" t="s">
        <v>47</v>
      </c>
      <c r="C268" t="s">
        <v>28</v>
      </c>
      <c r="D268" t="s">
        <v>4</v>
      </c>
      <c r="E268" t="s">
        <v>54</v>
      </c>
      <c r="F268">
        <v>499</v>
      </c>
      <c r="G268">
        <f>IF(E268="Nail Tech",0,F268*Settings!$B$1)</f>
        <v>0</v>
      </c>
      <c r="H268">
        <f>IF(E268="Nail Tech",F268,F268*Settings!$B$2)</f>
        <v>0</v>
      </c>
    </row>
    <row r="269" spans="1:8">
      <c r="A269" s="2">
        <v>45686</v>
      </c>
      <c r="B269" t="s">
        <v>47</v>
      </c>
      <c r="C269" t="s">
        <v>7</v>
      </c>
      <c r="D269" t="s">
        <v>3</v>
      </c>
      <c r="E269" t="s">
        <v>55</v>
      </c>
      <c r="F269">
        <v>149</v>
      </c>
      <c r="G269">
        <f>IF(E269="Nail Tech",0,F269*Settings!$B$1)</f>
        <v>0</v>
      </c>
      <c r="H269">
        <f>IF(E269="Nail Tech",F269,F269*Settings!$B$2)</f>
        <v>0</v>
      </c>
    </row>
    <row r="270" spans="1:8">
      <c r="A270" s="2">
        <v>45686</v>
      </c>
      <c r="B270" t="s">
        <v>47</v>
      </c>
      <c r="C270" t="s">
        <v>10</v>
      </c>
      <c r="D270" t="s">
        <v>3</v>
      </c>
      <c r="E270" t="s">
        <v>55</v>
      </c>
      <c r="F270">
        <v>499</v>
      </c>
      <c r="G270">
        <f>IF(E270="Nail Tech",0,F270*Settings!$B$1)</f>
        <v>0</v>
      </c>
      <c r="H270">
        <f>IF(E270="Nail Tech",F270,F270*Settings!$B$2)</f>
        <v>0</v>
      </c>
    </row>
    <row r="271" spans="1:8">
      <c r="A271" s="2">
        <v>45686</v>
      </c>
      <c r="B271" t="s">
        <v>47</v>
      </c>
      <c r="C271" t="s">
        <v>6</v>
      </c>
      <c r="D271" t="s">
        <v>3</v>
      </c>
      <c r="E271" t="s">
        <v>55</v>
      </c>
      <c r="F271">
        <v>99</v>
      </c>
      <c r="G271">
        <f>IF(E271="Nail Tech",0,F271*Settings!$B$1)</f>
        <v>0</v>
      </c>
      <c r="H271">
        <f>IF(E271="Nail Tech",F271,F271*Settings!$B$2)</f>
        <v>0</v>
      </c>
    </row>
    <row r="272" spans="1:8">
      <c r="A272" s="2">
        <v>45687</v>
      </c>
      <c r="B272" t="s">
        <v>48</v>
      </c>
      <c r="C272" t="s">
        <v>29</v>
      </c>
      <c r="D272" t="s">
        <v>4</v>
      </c>
      <c r="E272" t="s">
        <v>54</v>
      </c>
      <c r="F272">
        <v>299</v>
      </c>
      <c r="G272">
        <f>IF(E272="Nail Tech",0,F272*Settings!$B$1)</f>
        <v>0</v>
      </c>
      <c r="H272">
        <f>IF(E272="Nail Tech",F272,F272*Settings!$B$2)</f>
        <v>0</v>
      </c>
    </row>
    <row r="273" spans="1:8">
      <c r="A273" s="2">
        <v>45687</v>
      </c>
      <c r="B273" t="s">
        <v>48</v>
      </c>
      <c r="C273" t="s">
        <v>30</v>
      </c>
      <c r="D273" t="s">
        <v>4</v>
      </c>
      <c r="E273" t="s">
        <v>54</v>
      </c>
      <c r="F273">
        <v>399</v>
      </c>
      <c r="G273">
        <f>IF(E273="Nail Tech",0,F273*Settings!$B$1)</f>
        <v>0</v>
      </c>
      <c r="H273">
        <f>IF(E273="Nail Tech",F273,F273*Settings!$B$2)</f>
        <v>0</v>
      </c>
    </row>
    <row r="274" spans="1:8">
      <c r="A274" s="2">
        <v>45687</v>
      </c>
      <c r="B274" t="s">
        <v>48</v>
      </c>
      <c r="C274" t="s">
        <v>25</v>
      </c>
      <c r="D274" t="s">
        <v>4</v>
      </c>
      <c r="E274" t="s">
        <v>54</v>
      </c>
      <c r="F274">
        <v>119</v>
      </c>
      <c r="G274">
        <f>IF(E274="Nail Tech",0,F274*Settings!$B$1)</f>
        <v>0</v>
      </c>
      <c r="H274">
        <f>IF(E274="Nail Tech",F274,F274*Settings!$B$2)</f>
        <v>0</v>
      </c>
    </row>
    <row r="275" spans="1:8">
      <c r="A275" s="2">
        <v>45687</v>
      </c>
      <c r="B275" t="s">
        <v>48</v>
      </c>
      <c r="C275" t="s">
        <v>18</v>
      </c>
      <c r="D275" t="s">
        <v>3</v>
      </c>
      <c r="E275" t="s">
        <v>55</v>
      </c>
      <c r="F275">
        <v>1499</v>
      </c>
      <c r="G275">
        <f>IF(E275="Nail Tech",0,F275*Settings!$B$1)</f>
        <v>0</v>
      </c>
      <c r="H275">
        <f>IF(E275="Nail Tech",F275,F275*Settings!$B$2)</f>
        <v>0</v>
      </c>
    </row>
    <row r="276" spans="1:8">
      <c r="A276" s="2">
        <v>45687</v>
      </c>
      <c r="B276" t="s">
        <v>48</v>
      </c>
      <c r="C276" t="s">
        <v>25</v>
      </c>
      <c r="D276" t="s">
        <v>4</v>
      </c>
      <c r="E276" t="s">
        <v>54</v>
      </c>
      <c r="F276">
        <v>119</v>
      </c>
      <c r="G276">
        <f>IF(E276="Nail Tech",0,F276*Settings!$B$1)</f>
        <v>0</v>
      </c>
      <c r="H276">
        <f>IF(E276="Nail Tech",F276,F276*Settings!$B$2)</f>
        <v>0</v>
      </c>
    </row>
    <row r="277" spans="1:8">
      <c r="A277" s="2">
        <v>45687</v>
      </c>
      <c r="B277" t="s">
        <v>48</v>
      </c>
      <c r="C277" t="s">
        <v>8</v>
      </c>
      <c r="D277" t="s">
        <v>3</v>
      </c>
      <c r="E277" t="s">
        <v>55</v>
      </c>
      <c r="F277">
        <v>199</v>
      </c>
      <c r="G277">
        <f>IF(E277="Nail Tech",0,F277*Settings!$B$1)</f>
        <v>0</v>
      </c>
      <c r="H277">
        <f>IF(E277="Nail Tech",F277,F277*Settings!$B$2)</f>
        <v>0</v>
      </c>
    </row>
    <row r="278" spans="1:8">
      <c r="A278" s="2">
        <v>45687</v>
      </c>
      <c r="B278" t="s">
        <v>48</v>
      </c>
      <c r="C278" t="s">
        <v>9</v>
      </c>
      <c r="D278" t="s">
        <v>3</v>
      </c>
      <c r="E278" t="s">
        <v>55</v>
      </c>
      <c r="F278">
        <v>349</v>
      </c>
      <c r="G278">
        <f>IF(E278="Nail Tech",0,F278*Settings!$B$1)</f>
        <v>0</v>
      </c>
      <c r="H278">
        <f>IF(E278="Nail Tech",F278,F278*Settings!$B$2)</f>
        <v>0</v>
      </c>
    </row>
    <row r="279" spans="1:8">
      <c r="A279" s="2">
        <v>45687</v>
      </c>
      <c r="B279" t="s">
        <v>48</v>
      </c>
      <c r="C279" t="s">
        <v>8</v>
      </c>
      <c r="D279" t="s">
        <v>3</v>
      </c>
      <c r="E279" t="s">
        <v>56</v>
      </c>
      <c r="F279">
        <v>199</v>
      </c>
      <c r="G279">
        <f>IF(E279="Nail Tech",0,F279*Settings!$B$1)</f>
        <v>0</v>
      </c>
      <c r="H279">
        <f>IF(E279="Nail Tech",F279,F279*Settings!$B$2)</f>
        <v>0</v>
      </c>
    </row>
    <row r="280" spans="1:8">
      <c r="A280" s="2">
        <v>45687</v>
      </c>
      <c r="B280" t="s">
        <v>48</v>
      </c>
      <c r="C280" t="s">
        <v>11</v>
      </c>
      <c r="D280" t="s">
        <v>3</v>
      </c>
      <c r="E280" t="s">
        <v>55</v>
      </c>
      <c r="F280">
        <v>499</v>
      </c>
      <c r="G280">
        <f>IF(E280="Nail Tech",0,F280*Settings!$B$1)</f>
        <v>0</v>
      </c>
      <c r="H280">
        <f>IF(E280="Nail Tech",F280,F280*Settings!$B$2)</f>
        <v>0</v>
      </c>
    </row>
    <row r="281" spans="1:8">
      <c r="A281" s="2">
        <v>45687</v>
      </c>
      <c r="B281" t="s">
        <v>48</v>
      </c>
      <c r="C281" t="s">
        <v>34</v>
      </c>
      <c r="D281" t="s">
        <v>4</v>
      </c>
      <c r="E281" t="s">
        <v>54</v>
      </c>
      <c r="F281">
        <v>599</v>
      </c>
      <c r="G281">
        <f>IF(E281="Nail Tech",0,F281*Settings!$B$1)</f>
        <v>0</v>
      </c>
      <c r="H281">
        <f>IF(E281="Nail Tech",F281,F281*Settings!$B$2)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2">
      <c r="A1" t="s">
        <v>59</v>
      </c>
      <c r="B1" t="s">
        <v>60</v>
      </c>
    </row>
    <row r="2" spans="1:2">
      <c r="A2" t="s">
        <v>61</v>
      </c>
      <c r="B2">
        <f>SUM(Transactions!F:F)</f>
        <v>0</v>
      </c>
    </row>
    <row r="3" spans="1:2">
      <c r="A3" t="s">
        <v>62</v>
      </c>
      <c r="B3">
        <f>SUM(Transactions!G:G)</f>
        <v>0</v>
      </c>
    </row>
    <row r="4" spans="1:2">
      <c r="A4" t="s">
        <v>63</v>
      </c>
      <c r="B4">
        <f>SUM(Transactions!H:H)</f>
        <v>0</v>
      </c>
    </row>
    <row r="5" spans="1:2">
      <c r="A5" t="s">
        <v>64</v>
      </c>
      <c r="B5">
        <f>B2*Settings!$B$8</f>
        <v>0</v>
      </c>
    </row>
    <row r="6" spans="1:2">
      <c r="A6" t="s">
        <v>65</v>
      </c>
      <c r="B6">
        <f>Settings!$B$4+Settings!$B$5+Settings!$B$6</f>
        <v>0</v>
      </c>
    </row>
    <row r="7" spans="1:2">
      <c r="A7" t="s">
        <v>66</v>
      </c>
      <c r="B7">
        <f>B14+B5+B6</f>
        <v>0</v>
      </c>
    </row>
    <row r="8" spans="1:2">
      <c r="A8" t="s">
        <v>67</v>
      </c>
      <c r="B8">
        <f>B2-B7</f>
        <v>0</v>
      </c>
    </row>
    <row r="11" spans="1:2">
      <c r="A11" t="s">
        <v>68</v>
      </c>
      <c r="B11">
        <f>Settings!$B$11</f>
        <v>0</v>
      </c>
    </row>
    <row r="12" spans="1:2">
      <c r="A12" t="s">
        <v>69</v>
      </c>
      <c r="B12">
        <f>0</f>
        <v>0</v>
      </c>
    </row>
    <row r="13" spans="1:2">
      <c r="A13" t="s">
        <v>70</v>
      </c>
      <c r="B13">
        <f>MAX(B11,B12)</f>
        <v>0</v>
      </c>
    </row>
    <row r="14" spans="1:2">
      <c r="A14" t="s">
        <v>71</v>
      </c>
      <c r="B14">
        <f>B3-B12+B13</f>
        <v>0</v>
      </c>
    </row>
    <row r="17" spans="1:3">
      <c r="A17" t="s">
        <v>46</v>
      </c>
      <c r="B17" t="s">
        <v>61</v>
      </c>
      <c r="C17" t="s">
        <v>72</v>
      </c>
    </row>
    <row r="18" spans="1:3">
      <c r="A18" t="s">
        <v>55</v>
      </c>
      <c r="B18">
        <f>SUMIF(Transactions!E:E,"Senior Stylist",Transactions!F:F)</f>
        <v>0</v>
      </c>
      <c r="C18">
        <f>B18*Settings!$B$1</f>
        <v>0</v>
      </c>
    </row>
    <row r="19" spans="1:3">
      <c r="A19" t="s">
        <v>56</v>
      </c>
      <c r="B19">
        <f>SUMIF(Transactions!E:E,"Junior Stylist",Transactions!F:F)</f>
        <v>0</v>
      </c>
      <c r="C19">
        <f>B19*Settings!$B$1</f>
        <v>0</v>
      </c>
    </row>
    <row r="20" spans="1:3">
      <c r="A20" t="s">
        <v>54</v>
      </c>
      <c r="B20">
        <f>SUMIF(Transactions!E:E,"Nail Tech",Transactions!F:F)</f>
        <v>0</v>
      </c>
      <c r="C20">
        <f>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PriceList</vt:lpstr>
      <vt:lpstr>Settings</vt:lpstr>
      <vt:lpstr>Transactions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2025-11-24T16:55:44Z</dcterms:created>
  <dcterms:modified xsi:type="dcterms:W3CDTF">2025-11-24T16:55:44Z</dcterms:modified>
</cp:coreProperties>
</file>